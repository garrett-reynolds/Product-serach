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25-50R18 (standard)" sheetId="2" state="visible" r:id="rId2"/>
    <sheet name="225-45R19 (19in option)" sheetId="3" state="visible" r:id="rId3"/>
    <sheet name="Retailer terms" sheetId="4" state="visible" r:id="rId4"/>
    <sheet name="Run-flat (excluded)" sheetId="5" state="visible" r:id="rId5"/>
    <sheet name="Sources" sheetId="6" state="visible" r:id="rId6"/>
  </sheets>
  <definedNames>
    <definedName name="_xlnm._FilterDatabase" localSheetId="1" hidden="1">'225-50R18 (standard)'!$A$1:$O$33</definedName>
    <definedName name="_xlnm._FilterDatabase" localSheetId="2" hidden="1">'225-45R19 (19in option)'!$A$1:$O$20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60" customWidth="1" min="4" max="4"/>
  </cols>
  <sheetData>
    <row r="1">
      <c r="A1" s="1" t="inlineStr">
        <is>
          <t>Subject:</t>
        </is>
      </c>
      <c r="B1" s="2" t="inlineStr">
        <is>
          <t>All-season and all-weather tires for a 2022 VW Taos Highline 4MOTION (Canada) — 225/50R18 95H standard, 225/45R19 92H optional 19" package</t>
        </is>
      </c>
      <c r="C1" s="3" t="n"/>
      <c r="D1" s="3" t="n"/>
    </row>
    <row r="2">
      <c r="A2" s="1" t="inlineStr">
        <is>
          <t>Prepared:</t>
        </is>
      </c>
      <c r="B2" s="2" t="inlineStr">
        <is>
          <t>Sep 25 2026</t>
        </is>
      </c>
      <c r="C2" s="3" t="n"/>
      <c r="D2" s="3" t="n"/>
    </row>
    <row r="3">
      <c r="A3" s="1" t="inlineStr">
        <is>
          <t>Skill:</t>
        </is>
      </c>
      <c r="B3" s="2" t="inlineStr">
        <is>
          <t>verified-comparison</t>
        </is>
      </c>
      <c r="C3" s="3" t="n"/>
      <c r="D3" s="3" t="n"/>
    </row>
    <row r="4">
      <c r="A4" s="1" t="inlineStr">
        <is>
          <t>Currency:</t>
        </is>
      </c>
      <c r="B4" s="2" t="inlineStr">
        <is>
          <t>CAD $ · n/a (all prices are Canadian retailer list prices; no FX conversion)</t>
        </is>
      </c>
      <c r="C4" s="3" t="n"/>
      <c r="D4" s="3" t="n"/>
    </row>
    <row r="5">
      <c r="A5" s="1" t="inlineStr">
        <is>
          <t>Tax:</t>
        </is>
      </c>
      <c r="B5" s="2" t="inlineStr">
        <is>
          <t>HST/GST/QST excluded</t>
        </is>
      </c>
      <c r="C5" s="3" t="n"/>
      <c r="D5" s="3" t="n"/>
    </row>
    <row r="6">
      <c r="A6" s="1" t="inlineStr">
        <is>
          <t>Verification:</t>
        </is>
      </c>
      <c r="B6" s="2" t="inlineStr">
        <is>
          <t>[V] = read from the vendor's own source on the prepared date · [T] = third-party only · [U] = unverified</t>
        </is>
      </c>
      <c r="C6" s="3" t="n"/>
      <c r="D6" s="3" t="n"/>
    </row>
    <row r="7">
      <c r="A7" s="3" t="n"/>
      <c r="B7" s="3" t="n"/>
      <c r="C7" s="3" t="n"/>
      <c r="D7" s="3" t="n"/>
    </row>
    <row r="8">
      <c r="A8" s="1" t="inlineStr">
        <is>
          <t>Bottom line</t>
        </is>
      </c>
      <c r="B8" s="3" t="n"/>
      <c r="C8" s="3" t="n"/>
      <c r="D8" s="3" t="n"/>
    </row>
    <row r="9">
      <c r="A9" s="2" t="inlineStr">
        <is>
          <t>Answer</t>
        </is>
      </c>
      <c r="B9" s="2" t="inlineStr">
        <is>
          <t>Check your door-jamb placard first: 18" (225/50R18) is standard, 19" (225/45R19) is the $500 option. Cheapest all-weather: Pirelli Cinturato WeatherActive 18" at CAD $245.97/tire (Blackcircles) or Nitto Motivo 365 19" at CAD $273.70/tire (Blackcircles); benchmark Michelin CrossClimate 2 18" is CAD $321.95/tire at three retailers. [V]</t>
        </is>
      </c>
      <c r="C9" s="3" t="n"/>
      <c r="D9" s="3" t="n"/>
    </row>
    <row r="10">
      <c r="A10" s="2" t="inlineStr">
        <is>
          <t>Price columns</t>
        </is>
      </c>
      <c r="B10" s="2" t="inlineStr">
        <is>
          <t>Retailer columns on the size sheets are CAD $ per tire, before tax, before mail-in rebates and promo codes. Installation is included only at Point S and Costco.</t>
        </is>
      </c>
      <c r="C10" s="3" t="n"/>
      <c r="D10" s="3" t="n"/>
    </row>
    <row r="11">
      <c r="A11" s="3" t="n"/>
      <c r="B11" s="3" t="n"/>
      <c r="C11" s="3" t="n"/>
      <c r="D11" s="3" t="n"/>
    </row>
    <row r="12">
      <c r="A12" s="1" t="inlineStr">
        <is>
          <t>Lowest per tire, by size and category</t>
        </is>
      </c>
      <c r="B12" s="3" t="n"/>
      <c r="C12" s="3" t="n"/>
      <c r="D12" s="3" t="n"/>
    </row>
    <row r="13">
      <c r="A13" s="4" t="inlineStr">
        <is>
          <t>Size / category</t>
        </is>
      </c>
      <c r="B13" s="4" t="inlineStr">
        <is>
          <t>Lowest CAD $ per tire</t>
        </is>
      </c>
      <c r="C13" s="4" t="inlineStr">
        <is>
          <t>Set of 4 (CAD $)</t>
        </is>
      </c>
      <c r="D13" s="4" t="inlineStr">
        <is>
          <t>Tire — retailer</t>
        </is>
      </c>
    </row>
    <row r="14">
      <c r="A14" s="2" t="inlineStr">
        <is>
          <t>225/50R18 · All-weather 3PMSF</t>
        </is>
      </c>
      <c r="B14" s="5">
        <f>_xlfn.MINIFS('225-50R18 (standard)'!$J$2:$J$33,'225-50R18 (standard)'!$A$2:$A$33,"All-weather 3PMSF")</f>
        <v/>
      </c>
      <c r="C14" s="5">
        <f>4*B14</f>
        <v/>
      </c>
      <c r="D14" s="2">
        <f>INDEX('225-50R18 (standard)'!$B$2:$B$33,MATCH(1,INDEX(('225-50R18 (standard)'!$A$2:$A$33="All-weather 3PMSF")*('225-50R18 (standard)'!$J$2:$J$33=B14),0),0))&amp;" "&amp;INDEX('225-50R18 (standard)'!$C$2:$C$33,MATCH(1,INDEX(('225-50R18 (standard)'!$A$2:$A$33="All-weather 3PMSF")*('225-50R18 (standard)'!$J$2:$J$33=B14),0),0))&amp;" — "&amp;INDEX('225-50R18 (standard)'!$K$2:$K$33,MATCH(1,INDEX(('225-50R18 (standard)'!$A$2:$A$33="All-weather 3PMSF")*('225-50R18 (standard)'!$J$2:$J$33=B14),0),0))</f>
        <v/>
      </c>
    </row>
    <row r="15">
      <c r="A15" s="2" t="inlineStr">
        <is>
          <t>225/50R18 · All-season</t>
        </is>
      </c>
      <c r="B15" s="5">
        <f>_xlfn.MINIFS('225-50R18 (standard)'!$J$2:$J$33,'225-50R18 (standard)'!$A$2:$A$33,"All-season")</f>
        <v/>
      </c>
      <c r="C15" s="5">
        <f>4*B15</f>
        <v/>
      </c>
      <c r="D15" s="2">
        <f>INDEX('225-50R18 (standard)'!$B$2:$B$33,MATCH(1,INDEX(('225-50R18 (standard)'!$A$2:$A$33="All-season")*('225-50R18 (standard)'!$J$2:$J$33=B15),0),0))&amp;" "&amp;INDEX('225-50R18 (standard)'!$C$2:$C$33,MATCH(1,INDEX(('225-50R18 (standard)'!$A$2:$A$33="All-season")*('225-50R18 (standard)'!$J$2:$J$33=B15),0),0))&amp;" — "&amp;INDEX('225-50R18 (standard)'!$K$2:$K$33,MATCH(1,INDEX(('225-50R18 (standard)'!$A$2:$A$33="All-season")*('225-50R18 (standard)'!$J$2:$J$33=B15),0),0))</f>
        <v/>
      </c>
    </row>
    <row r="16">
      <c r="A16" s="2" t="inlineStr">
        <is>
          <t>225/45R19 · All-weather 3PMSF</t>
        </is>
      </c>
      <c r="B16" s="5">
        <f>_xlfn.MINIFS('225-45R19 (19in option)'!$J$2:$J$20,'225-45R19 (19in option)'!$A$2:$A$20,"All-weather 3PMSF")</f>
        <v/>
      </c>
      <c r="C16" s="5">
        <f>4*B16</f>
        <v/>
      </c>
      <c r="D16" s="2">
        <f>INDEX('225-45R19 (19in option)'!$B$2:$B$20,MATCH(1,INDEX(('225-45R19 (19in option)'!$A$2:$A$20="All-weather 3PMSF")*('225-45R19 (19in option)'!$J$2:$J$20=B16),0),0))&amp;" "&amp;INDEX('225-45R19 (19in option)'!$C$2:$C$20,MATCH(1,INDEX(('225-45R19 (19in option)'!$A$2:$A$20="All-weather 3PMSF")*('225-45R19 (19in option)'!$J$2:$J$20=B16),0),0))&amp;" — "&amp;INDEX('225-45R19 (19in option)'!$K$2:$K$20,MATCH(1,INDEX(('225-45R19 (19in option)'!$A$2:$A$20="All-weather 3PMSF")*('225-45R19 (19in option)'!$J$2:$J$20=B16),0),0))</f>
        <v/>
      </c>
    </row>
    <row r="17">
      <c r="A17" s="2" t="inlineStr">
        <is>
          <t>225/45R19 · All-season</t>
        </is>
      </c>
      <c r="B17" s="5">
        <f>_xlfn.MINIFS('225-45R19 (19in option)'!$J$2:$J$20,'225-45R19 (19in option)'!$A$2:$A$20,"All-season")</f>
        <v/>
      </c>
      <c r="C17" s="5">
        <f>4*B17</f>
        <v/>
      </c>
      <c r="D17" s="2">
        <f>INDEX('225-45R19 (19in option)'!$B$2:$B$20,MATCH(1,INDEX(('225-45R19 (19in option)'!$A$2:$A$20="All-season")*('225-45R19 (19in option)'!$J$2:$J$20=B17),0),0))&amp;" "&amp;INDEX('225-45R19 (19in option)'!$C$2:$C$20,MATCH(1,INDEX(('225-45R19 (19in option)'!$A$2:$A$20="All-season")*('225-45R19 (19in option)'!$J$2:$J$20=B17),0),0))&amp;" — "&amp;INDEX('225-45R19 (19in option)'!$K$2:$K$20,MATCH(1,INDEX(('225-45R19 (19in option)'!$A$2:$A$20="All-season")*('225-45R19 (19in option)'!$J$2:$J$20=B17),0),0))</f>
        <v/>
      </c>
    </row>
    <row r="18">
      <c r="A18" s="3" t="n"/>
      <c r="B18" s="3" t="n"/>
      <c r="C18" s="3" t="n"/>
      <c r="D18" s="3" t="n"/>
    </row>
    <row r="19">
      <c r="A19" s="1" t="inlineStr">
        <is>
          <t>Recommendation (one line per option)</t>
        </is>
      </c>
      <c r="B19" s="3" t="n"/>
      <c r="C19" s="3" t="n"/>
      <c r="D19" s="3" t="n"/>
    </row>
    <row r="20">
      <c r="A20" s="2" t="inlineStr">
        <is>
          <t>Michelin CrossClimate 2 (18")</t>
        </is>
      </c>
      <c r="B20" s="2" t="inlineStr">
        <is>
          <t>Best-known all-weather benchmark; CAD $321.95 at BC/PMC/Kal, stack 10% code at BC + $100 Michelin rebate. Not stocked in 225/45R19 anywhere checked.</t>
        </is>
      </c>
      <c r="C20" s="3" t="n"/>
      <c r="D20" s="3" t="n"/>
    </row>
    <row r="21">
      <c r="A21" s="2" t="inlineStr">
        <is>
          <t>Pirelli Cinturato WeatherActive (18")</t>
        </is>
      </c>
      <c r="B21" s="2" t="inlineStr">
        <is>
          <t>Cheapest 3PMSF 18" at CAD $245.97 (Blackcircles, 76 in stock) — but $80/tire more at Point S; buy online.</t>
        </is>
      </c>
      <c r="C21" s="3" t="n"/>
      <c r="D21" s="3" t="n"/>
    </row>
    <row r="22">
      <c r="A22" s="2" t="inlineStr">
        <is>
          <t>Toyo Celsius II (18")</t>
        </is>
      </c>
      <c r="B22" s="2" t="inlineStr">
        <is>
          <t>Mid-price all-weather at CAD $281.00, identical at BC and PMC.</t>
        </is>
      </c>
      <c r="C22" s="3" t="n"/>
      <c r="D22" s="3" t="n"/>
    </row>
    <row r="23">
      <c r="A23" s="2" t="inlineStr">
        <is>
          <t>Nitto Motivo 365 (19")</t>
        </is>
      </c>
      <c r="B23" s="2" t="inlineStr">
        <is>
          <t>Cheapest and most widely stocked 3PMSF in 225/45R19 (CAD $273.70 BC); only option carried by all four priced retailers in 19".</t>
        </is>
      </c>
      <c r="C23" s="3" t="n"/>
      <c r="D23" s="3" t="n"/>
    </row>
    <row r="24">
      <c r="A24" s="2" t="inlineStr">
        <is>
          <t>Goodyear WeatherReady 2 (19")</t>
        </is>
      </c>
      <c r="B24" s="2" t="inlineStr">
        <is>
          <t>Premium-brand 3PMSF in 19", but CAD $408.99+ — $135.29/tire over the Nitto.</t>
        </is>
      </c>
      <c r="C24" s="3" t="n"/>
      <c r="D24" s="3" t="n"/>
    </row>
    <row r="25">
      <c r="A25" s="2" t="inlineStr">
        <is>
          <t>Continental DWS06 Plus / Michelin Defender2 (all-season)</t>
        </is>
      </c>
      <c r="B25" s="2" t="inlineStr">
        <is>
          <t>If you run separate winters: DWS06 Plus CAD $275.99 (18") / $297.99 (19"); Defender2 CAD $278.95 (18") for tread life.</t>
        </is>
      </c>
      <c r="C25" s="3" t="n"/>
      <c r="D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14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5" customWidth="1" min="12" max="12"/>
    <col width="10" customWidth="1" min="13" max="13"/>
    <col width="7" customWidth="1" min="14" max="14"/>
    <col width="70" customWidth="1" min="15" max="15"/>
  </cols>
  <sheetData>
    <row r="1">
      <c r="A1" s="4" t="inlineStr">
        <is>
          <t>Category</t>
        </is>
      </c>
      <c r="B1" s="4" t="inlineStr">
        <is>
          <t>Brand</t>
        </is>
      </c>
      <c r="C1" s="4" t="inlineStr">
        <is>
          <t>Model</t>
        </is>
      </c>
      <c r="D1" s="4" t="inlineStr">
        <is>
          <t>Load / speed (OE-or-better)</t>
        </is>
      </c>
      <c r="E1" s="4" t="inlineStr">
        <is>
          <t>Blackcircles.ca</t>
        </is>
      </c>
      <c r="F1" s="4" t="inlineStr">
        <is>
          <t>PMCtire.com</t>
        </is>
      </c>
      <c r="G1" s="4" t="inlineStr">
        <is>
          <t>Kal Tire</t>
        </is>
      </c>
      <c r="H1" s="4" t="inlineStr">
        <is>
          <t>Point S</t>
        </is>
      </c>
      <c r="I1" s="4" t="inlineStr">
        <is>
          <t>Costco</t>
        </is>
      </c>
      <c r="J1" s="4" t="inlineStr">
        <is>
          <t>Lowest CAD $/tire</t>
        </is>
      </c>
      <c r="K1" s="4" t="inlineStr">
        <is>
          <t>Lowest at</t>
        </is>
      </c>
      <c r="L1" s="4" t="inlineStr">
        <is>
          <t>Set of 4 at lowest (CAD $)</t>
        </is>
      </c>
      <c r="M1" s="4" t="inlineStr">
        <is>
          <t># retailers priced</t>
        </is>
      </c>
      <c r="N1" s="4" t="inlineStr">
        <is>
          <t>Verif</t>
        </is>
      </c>
      <c r="O1" s="4" t="inlineStr">
        <is>
          <t>Notes / promos (per tire prices exclude mail-in rebates)</t>
        </is>
      </c>
    </row>
    <row r="2">
      <c r="A2" s="6" t="inlineStr">
        <is>
          <t>All-weather 3PMSF</t>
        </is>
      </c>
      <c r="B2" s="6" t="inlineStr">
        <is>
          <t>Michelin</t>
        </is>
      </c>
      <c r="C2" s="6" t="inlineStr">
        <is>
          <t>CrossClimate 2</t>
        </is>
      </c>
      <c r="D2" s="6" t="inlineStr">
        <is>
          <t>95H</t>
        </is>
      </c>
      <c r="E2" s="7" t="n">
        <v>321.95</v>
      </c>
      <c r="F2" s="7" t="n">
        <v>321.95</v>
      </c>
      <c r="G2" s="7" t="n">
        <v>321.95</v>
      </c>
      <c r="H2" s="7" t="n">
        <v>333.99</v>
      </c>
      <c r="I2" s="7" t="inlineStr">
        <is>
          <t>Member price</t>
        </is>
      </c>
      <c r="J2" s="8">
        <f>IF(COUNT(E2:I2)=0,"Not published",MIN(E2:I2))</f>
        <v/>
      </c>
      <c r="K2" s="6">
        <f>IF(COUNT(E2:I2)=0,"n/a",INDEX($E$1:$I$1,MATCH(MIN(E2:I2),E2:I2,0))&amp;IF(COUNTIF(E2:I2,MIN(E2:I2))&gt;1," (tie x"&amp;COUNTIF(E2:I2,MIN(E2:I2))&amp;")",""))</f>
        <v/>
      </c>
      <c r="L2" s="7">
        <f>IF(COUNT(E2:I2)=0,"n/a",4*MIN(E2:I2))</f>
        <v/>
      </c>
      <c r="M2" s="6">
        <f>COUNT(E2:I2)</f>
        <v/>
      </c>
      <c r="N2" s="6" t="inlineStr">
        <is>
          <t>[V]</t>
        </is>
      </c>
      <c r="O2" s="2" t="inlineStr">
        <is>
          <t>Michelin mail-in up to $100 / set of 4, Sep 21–Dec 18; BC code PROMOCC2 10%</t>
        </is>
      </c>
    </row>
    <row r="3">
      <c r="A3" s="6" t="inlineStr">
        <is>
          <t>All-weather 3PMSF</t>
        </is>
      </c>
      <c r="B3" s="6" t="inlineStr">
        <is>
          <t>Goodyear</t>
        </is>
      </c>
      <c r="C3" s="6" t="inlineStr">
        <is>
          <t>Assurance WeatherReady 2</t>
        </is>
      </c>
      <c r="D3" s="6" t="inlineStr">
        <is>
          <t>95V</t>
        </is>
      </c>
      <c r="E3" s="7" t="n">
        <v>305.99</v>
      </c>
      <c r="F3" s="7" t="n">
        <v>310.24</v>
      </c>
      <c r="G3" s="7" t="inlineStr">
        <is>
          <t>Not listed</t>
        </is>
      </c>
      <c r="H3" s="7" t="n">
        <v>318.99</v>
      </c>
      <c r="I3" s="7" t="inlineStr">
        <is>
          <t>Not listed</t>
        </is>
      </c>
      <c r="J3" s="8">
        <f>IF(COUNT(E3:I3)=0,"Not published",MIN(E3:I3))</f>
        <v/>
      </c>
      <c r="K3" s="6">
        <f>IF(COUNT(E3:I3)=0,"n/a",INDEX($E$1:$I$1,MATCH(MIN(E3:I3),E3:I3,0))&amp;IF(COUNTIF(E3:I3,MIN(E3:I3))&gt;1," (tie x"&amp;COUNTIF(E3:I3,MIN(E3:I3))&amp;")",""))</f>
        <v/>
      </c>
      <c r="L3" s="7">
        <f>IF(COUNT(E3:I3)=0,"n/a",4*MIN(E3:I3))</f>
        <v/>
      </c>
      <c r="M3" s="6">
        <f>COUNT(E3:I3)</f>
        <v/>
      </c>
      <c r="N3" s="6" t="inlineStr">
        <is>
          <t>[V]</t>
        </is>
      </c>
      <c r="O3" s="2" t="inlineStr">
        <is>
          <t>Goodyear mail-in up to $100 / set, Sep 7–Dec 20</t>
        </is>
      </c>
    </row>
    <row r="4">
      <c r="A4" s="6" t="inlineStr">
        <is>
          <t>All-weather 3PMSF</t>
        </is>
      </c>
      <c r="B4" s="6" t="inlineStr">
        <is>
          <t>Toyo</t>
        </is>
      </c>
      <c r="C4" s="6" t="inlineStr">
        <is>
          <t>Celsius II</t>
        </is>
      </c>
      <c r="D4" s="6" t="inlineStr">
        <is>
          <t>95V</t>
        </is>
      </c>
      <c r="E4" s="7" t="n">
        <v>281</v>
      </c>
      <c r="F4" s="7" t="n">
        <v>281</v>
      </c>
      <c r="G4" s="7" t="inlineStr">
        <is>
          <t>Not listed</t>
        </is>
      </c>
      <c r="H4" s="7" t="n">
        <v>297.99</v>
      </c>
      <c r="I4" s="7" t="inlineStr">
        <is>
          <t>Not listed</t>
        </is>
      </c>
      <c r="J4" s="8">
        <f>IF(COUNT(E4:I4)=0,"Not published",MIN(E4:I4))</f>
        <v/>
      </c>
      <c r="K4" s="6">
        <f>IF(COUNT(E4:I4)=0,"n/a",INDEX($E$1:$I$1,MATCH(MIN(E4:I4),E4:I4,0))&amp;IF(COUNTIF(E4:I4,MIN(E4:I4))&gt;1," (tie x"&amp;COUNTIF(E4:I4,MIN(E4:I4))&amp;")",""))</f>
        <v/>
      </c>
      <c r="L4" s="7">
        <f>IF(COUNT(E4:I4)=0,"n/a",4*MIN(E4:I4))</f>
        <v/>
      </c>
      <c r="M4" s="6">
        <f>COUNT(E4:I4)</f>
        <v/>
      </c>
      <c r="N4" s="6" t="inlineStr">
        <is>
          <t>[V]</t>
        </is>
      </c>
      <c r="O4" s="2" t="inlineStr">
        <is>
          <t>Toyo mail-in $80–100 / set, Sep 12–Dec 19</t>
        </is>
      </c>
    </row>
    <row r="5">
      <c r="A5" s="6" t="inlineStr">
        <is>
          <t>All-weather 3PMSF</t>
        </is>
      </c>
      <c r="B5" s="6" t="inlineStr">
        <is>
          <t>Bridgestone</t>
        </is>
      </c>
      <c r="C5" s="6" t="inlineStr">
        <is>
          <t>WeatherPeak</t>
        </is>
      </c>
      <c r="D5" s="6" t="inlineStr">
        <is>
          <t>95H</t>
        </is>
      </c>
      <c r="E5" s="7" t="n">
        <v>278.19</v>
      </c>
      <c r="F5" s="7" t="n">
        <v>278.59</v>
      </c>
      <c r="G5" s="7" t="inlineStr">
        <is>
          <t>Not listed</t>
        </is>
      </c>
      <c r="H5" s="7" t="inlineStr">
        <is>
          <t>Not listed</t>
        </is>
      </c>
      <c r="I5" s="7" t="inlineStr">
        <is>
          <t>Not listed</t>
        </is>
      </c>
      <c r="J5" s="8">
        <f>IF(COUNT(E5:I5)=0,"Not published",MIN(E5:I5))</f>
        <v/>
      </c>
      <c r="K5" s="6">
        <f>IF(COUNT(E5:I5)=0,"n/a",INDEX($E$1:$I$1,MATCH(MIN(E5:I5),E5:I5,0))&amp;IF(COUNTIF(E5:I5,MIN(E5:I5))&gt;1," (tie x"&amp;COUNTIF(E5:I5,MIN(E5:I5))&amp;")",""))</f>
        <v/>
      </c>
      <c r="L5" s="7">
        <f>IF(COUNT(E5:I5)=0,"n/a",4*MIN(E5:I5))</f>
        <v/>
      </c>
      <c r="M5" s="6">
        <f>COUNT(E5:I5)</f>
        <v/>
      </c>
      <c r="N5" s="6" t="inlineStr">
        <is>
          <t>[V]</t>
        </is>
      </c>
      <c r="O5" s="2" t="inlineStr">
        <is>
          <t>BC code WPEAK 12%; not listed at Kal / Point S / Costco</t>
        </is>
      </c>
    </row>
    <row r="6">
      <c r="A6" s="6" t="inlineStr">
        <is>
          <t>All-weather 3PMSF</t>
        </is>
      </c>
      <c r="B6" s="6" t="inlineStr">
        <is>
          <t>Vredestein</t>
        </is>
      </c>
      <c r="C6" s="6" t="inlineStr">
        <is>
          <t>Quatrac Pro+</t>
        </is>
      </c>
      <c r="D6" s="6" t="inlineStr">
        <is>
          <t>99W XL</t>
        </is>
      </c>
      <c r="E6" s="7" t="n">
        <v>279.31</v>
      </c>
      <c r="F6" s="7" t="n">
        <v>273.86</v>
      </c>
      <c r="G6" s="7" t="inlineStr">
        <is>
          <t>Not listed</t>
        </is>
      </c>
      <c r="H6" s="7" t="inlineStr">
        <is>
          <t>Not listed</t>
        </is>
      </c>
      <c r="I6" s="7" t="inlineStr">
        <is>
          <t>Not listed</t>
        </is>
      </c>
      <c r="J6" s="8">
        <f>IF(COUNT(E6:I6)=0,"Not published",MIN(E6:I6))</f>
        <v/>
      </c>
      <c r="K6" s="6">
        <f>IF(COUNT(E6:I6)=0,"n/a",INDEX($E$1:$I$1,MATCH(MIN(E6:I6),E6:I6,0))&amp;IF(COUNTIF(E6:I6,MIN(E6:I6))&gt;1," (tie x"&amp;COUNTIF(E6:I6,MIN(E6:I6))&amp;")",""))</f>
        <v/>
      </c>
      <c r="L6" s="7">
        <f>IF(COUNT(E6:I6)=0,"n/a",4*MIN(E6:I6))</f>
        <v/>
      </c>
      <c r="M6" s="6">
        <f>COUNT(E6:I6)</f>
        <v/>
      </c>
      <c r="N6" s="6" t="inlineStr">
        <is>
          <t>[V]</t>
        </is>
      </c>
      <c r="O6" s="2" t="inlineStr"/>
    </row>
    <row r="7">
      <c r="A7" s="6" t="inlineStr">
        <is>
          <t>All-weather 3PMSF</t>
        </is>
      </c>
      <c r="B7" s="6" t="inlineStr">
        <is>
          <t>Firestone</t>
        </is>
      </c>
      <c r="C7" s="6" t="inlineStr">
        <is>
          <t>WeatherGrip</t>
        </is>
      </c>
      <c r="D7" s="6" t="inlineStr">
        <is>
          <t>95H</t>
        </is>
      </c>
      <c r="E7" s="7" t="n">
        <v>259.71</v>
      </c>
      <c r="F7" s="7" t="n">
        <v>256.99</v>
      </c>
      <c r="G7" s="7" t="n">
        <v>277.92</v>
      </c>
      <c r="H7" s="7" t="n">
        <v>273.99</v>
      </c>
      <c r="I7" s="7" t="inlineStr">
        <is>
          <t>Not listed</t>
        </is>
      </c>
      <c r="J7" s="8">
        <f>IF(COUNT(E7:I7)=0,"Not published",MIN(E7:I7))</f>
        <v/>
      </c>
      <c r="K7" s="6">
        <f>IF(COUNT(E7:I7)=0,"n/a",INDEX($E$1:$I$1,MATCH(MIN(E7:I7),E7:I7,0))&amp;IF(COUNTIF(E7:I7,MIN(E7:I7))&gt;1," (tie x"&amp;COUNTIF(E7:I7,MIN(E7:I7))&amp;")",""))</f>
        <v/>
      </c>
      <c r="L7" s="7">
        <f>IF(COUNT(E7:I7)=0,"n/a",4*MIN(E7:I7))</f>
        <v/>
      </c>
      <c r="M7" s="6">
        <f>COUNT(E7:I7)</f>
        <v/>
      </c>
      <c r="N7" s="6" t="inlineStr">
        <is>
          <t>[V]</t>
        </is>
      </c>
      <c r="O7" s="2" t="inlineStr">
        <is>
          <t>Firestone mail-in $70 / set, Sep 14/15–Dec 7</t>
        </is>
      </c>
    </row>
    <row r="8">
      <c r="A8" s="6" t="inlineStr">
        <is>
          <t>All-weather 3PMSF</t>
        </is>
      </c>
      <c r="B8" s="6" t="inlineStr">
        <is>
          <t>General</t>
        </is>
      </c>
      <c r="C8" s="6" t="inlineStr">
        <is>
          <t>AltiMAX 365AW</t>
        </is>
      </c>
      <c r="D8" s="6" t="inlineStr">
        <is>
          <t>95H</t>
        </is>
      </c>
      <c r="E8" s="7" t="n">
        <v>247.99</v>
      </c>
      <c r="F8" s="7" t="n">
        <v>252.99</v>
      </c>
      <c r="G8" s="7" t="inlineStr">
        <is>
          <t>Not listed</t>
        </is>
      </c>
      <c r="H8" s="7" t="n">
        <v>266.99</v>
      </c>
      <c r="I8" s="7" t="inlineStr">
        <is>
          <t>Not listed</t>
        </is>
      </c>
      <c r="J8" s="8">
        <f>IF(COUNT(E8:I8)=0,"Not published",MIN(E8:I8))</f>
        <v/>
      </c>
      <c r="K8" s="6">
        <f>IF(COUNT(E8:I8)=0,"n/a",INDEX($E$1:$I$1,MATCH(MIN(E8:I8),E8:I8,0))&amp;IF(COUNTIF(E8:I8,MIN(E8:I8))&gt;1," (tie x"&amp;COUNTIF(E8:I8,MIN(E8:I8))&amp;")",""))</f>
        <v/>
      </c>
      <c r="L8" s="7">
        <f>IF(COUNT(E8:I8)=0,"n/a",4*MIN(E8:I8))</f>
        <v/>
      </c>
      <c r="M8" s="6">
        <f>COUNT(E8:I8)</f>
        <v/>
      </c>
      <c r="N8" s="6" t="inlineStr">
        <is>
          <t>[V]</t>
        </is>
      </c>
      <c r="O8" s="2" t="inlineStr">
        <is>
          <t>General mail-in $50 / set</t>
        </is>
      </c>
    </row>
    <row r="9">
      <c r="A9" s="6" t="inlineStr">
        <is>
          <t>All-weather 3PMSF</t>
        </is>
      </c>
      <c r="B9" s="6" t="inlineStr">
        <is>
          <t>Pirelli</t>
        </is>
      </c>
      <c r="C9" s="6" t="inlineStr">
        <is>
          <t>Cinturato WeatherActive</t>
        </is>
      </c>
      <c r="D9" s="6" t="inlineStr">
        <is>
          <t>95V</t>
        </is>
      </c>
      <c r="E9" s="7" t="n">
        <v>245.97</v>
      </c>
      <c r="F9" s="7" t="n">
        <v>278.53</v>
      </c>
      <c r="G9" s="7" t="n">
        <v>325.19</v>
      </c>
      <c r="H9" s="7" t="n">
        <v>325.99</v>
      </c>
      <c r="I9" s="7" t="inlineStr">
        <is>
          <t>Out of stock</t>
        </is>
      </c>
      <c r="J9" s="8">
        <f>IF(COUNT(E9:I9)=0,"Not published",MIN(E9:I9))</f>
        <v/>
      </c>
      <c r="K9" s="6">
        <f>IF(COUNT(E9:I9)=0,"n/a",INDEX($E$1:$I$1,MATCH(MIN(E9:I9),E9:I9,0))&amp;IF(COUNTIF(E9:I9,MIN(E9:I9))&gt;1," (tie x"&amp;COUNTIF(E9:I9,MIN(E9:I9))&amp;")",""))</f>
        <v/>
      </c>
      <c r="L9" s="7">
        <f>IF(COUNT(E9:I9)=0,"n/a",4*MIN(E9:I9))</f>
        <v/>
      </c>
      <c r="M9" s="6">
        <f>COUNT(E9:I9)</f>
        <v/>
      </c>
      <c r="N9" s="6" t="inlineStr">
        <is>
          <t>[V]</t>
        </is>
      </c>
      <c r="O9" s="2" t="inlineStr">
        <is>
          <t>Widest spread in the set: $80.02/tire between Blackcircles and Point S</t>
        </is>
      </c>
    </row>
    <row r="10">
      <c r="A10" s="6" t="inlineStr">
        <is>
          <t>All-weather 3PMSF</t>
        </is>
      </c>
      <c r="B10" s="6" t="inlineStr">
        <is>
          <t>Nokian</t>
        </is>
      </c>
      <c r="C10" s="6" t="inlineStr">
        <is>
          <t>Remedy WRG5</t>
        </is>
      </c>
      <c r="D10" s="6" t="inlineStr">
        <is>
          <t>99V XL</t>
        </is>
      </c>
      <c r="E10" s="7" t="inlineStr">
        <is>
          <t>Not listed</t>
        </is>
      </c>
      <c r="F10" s="7" t="inlineStr">
        <is>
          <t>Not listed</t>
        </is>
      </c>
      <c r="G10" s="7" t="n">
        <v>287.44</v>
      </c>
      <c r="H10" s="7" t="n">
        <v>324.99</v>
      </c>
      <c r="I10" s="7" t="inlineStr">
        <is>
          <t>Not listed</t>
        </is>
      </c>
      <c r="J10" s="8">
        <f>IF(COUNT(E10:I10)=0,"Not published",MIN(E10:I10))</f>
        <v/>
      </c>
      <c r="K10" s="6">
        <f>IF(COUNT(E10:I10)=0,"n/a",INDEX($E$1:$I$1,MATCH(MIN(E10:I10),E10:I10,0))&amp;IF(COUNTIF(E10:I10,MIN(E10:I10))&gt;1," (tie x"&amp;COUNTIF(E10:I10,MIN(E10:I10))&amp;")",""))</f>
        <v/>
      </c>
      <c r="L10" s="7">
        <f>IF(COUNT(E10:I10)=0,"n/a",4*MIN(E10:I10))</f>
        <v/>
      </c>
      <c r="M10" s="6">
        <f>COUNT(E10:I10)</f>
        <v/>
      </c>
      <c r="N10" s="6" t="inlineStr">
        <is>
          <t>[V]</t>
        </is>
      </c>
      <c r="O10" s="2" t="inlineStr">
        <is>
          <t>Kal price is a sale (was $299.94) + $50 instant off set, Sep 14–Dec 20; out of stock at PMC</t>
        </is>
      </c>
    </row>
    <row r="11">
      <c r="A11" s="6" t="inlineStr">
        <is>
          <t>All-weather 3PMSF</t>
        </is>
      </c>
      <c r="B11" s="6" t="inlineStr">
        <is>
          <t>Nitto</t>
        </is>
      </c>
      <c r="C11" s="6" t="inlineStr">
        <is>
          <t>Motivo 365</t>
        </is>
      </c>
      <c r="D11" s="6" t="inlineStr">
        <is>
          <t>99W XL</t>
        </is>
      </c>
      <c r="E11" s="7" t="inlineStr">
        <is>
          <t>Not listed</t>
        </is>
      </c>
      <c r="F11" s="7" t="inlineStr">
        <is>
          <t>Not listed</t>
        </is>
      </c>
      <c r="G11" s="7" t="n">
        <v>269.08</v>
      </c>
      <c r="H11" s="7" t="n">
        <v>266.99</v>
      </c>
      <c r="I11" s="7" t="inlineStr">
        <is>
          <t>Not listed</t>
        </is>
      </c>
      <c r="J11" s="8">
        <f>IF(COUNT(E11:I11)=0,"Not published",MIN(E11:I11))</f>
        <v/>
      </c>
      <c r="K11" s="6">
        <f>IF(COUNT(E11:I11)=0,"n/a",INDEX($E$1:$I$1,MATCH(MIN(E11:I11),E11:I11,0))&amp;IF(COUNTIF(E11:I11,MIN(E11:I11))&gt;1," (tie x"&amp;COUNTIF(E11:I11,MIN(E11:I11))&amp;")",""))</f>
        <v/>
      </c>
      <c r="L11" s="7">
        <f>IF(COUNT(E11:I11)=0,"n/a",4*MIN(E11:I11))</f>
        <v/>
      </c>
      <c r="M11" s="6">
        <f>COUNT(E11:I11)</f>
        <v/>
      </c>
      <c r="N11" s="6" t="inlineStr">
        <is>
          <t>[V]</t>
        </is>
      </c>
      <c r="O11" s="2" t="inlineStr">
        <is>
          <t>Kal price is a sale (was $284.08) + $60 off set; Nitto rebate $60 at Point S</t>
        </is>
      </c>
    </row>
    <row r="12">
      <c r="A12" s="6" t="inlineStr">
        <is>
          <t>All-weather 3PMSF</t>
        </is>
      </c>
      <c r="B12" s="6" t="inlineStr">
        <is>
          <t>Toyo</t>
        </is>
      </c>
      <c r="C12" s="6" t="inlineStr">
        <is>
          <t>Celsius Sport</t>
        </is>
      </c>
      <c r="D12" s="6" t="inlineStr">
        <is>
          <t>95V</t>
        </is>
      </c>
      <c r="E12" s="7" t="inlineStr">
        <is>
          <t>Not listed</t>
        </is>
      </c>
      <c r="F12" s="7" t="inlineStr">
        <is>
          <t>Not listed</t>
        </is>
      </c>
      <c r="G12" s="7" t="inlineStr">
        <is>
          <t>Not listed</t>
        </is>
      </c>
      <c r="H12" s="7" t="n">
        <v>297.99</v>
      </c>
      <c r="I12" s="7" t="inlineStr">
        <is>
          <t>Not listed</t>
        </is>
      </c>
      <c r="J12" s="8">
        <f>IF(COUNT(E12:I12)=0,"Not published",MIN(E12:I12))</f>
        <v/>
      </c>
      <c r="K12" s="6">
        <f>IF(COUNT(E12:I12)=0,"n/a",INDEX($E$1:$I$1,MATCH(MIN(E12:I12),E12:I12,0))&amp;IF(COUNTIF(E12:I12,MIN(E12:I12))&gt;1," (tie x"&amp;COUNTIF(E12:I12,MIN(E12:I12))&amp;")",""))</f>
        <v/>
      </c>
      <c r="L12" s="7">
        <f>IF(COUNT(E12:I12)=0,"n/a",4*MIN(E12:I12))</f>
        <v/>
      </c>
      <c r="M12" s="6">
        <f>COUNT(E12:I12)</f>
        <v/>
      </c>
      <c r="N12" s="6" t="inlineStr">
        <is>
          <t>[V]</t>
        </is>
      </c>
      <c r="O12" s="2" t="inlineStr">
        <is>
          <t>Toyo mail-in up to $80</t>
        </is>
      </c>
    </row>
    <row r="13">
      <c r="A13" s="6" t="inlineStr">
        <is>
          <t>All-weather 3PMSF</t>
        </is>
      </c>
      <c r="B13" s="6" t="inlineStr">
        <is>
          <t>Bridgestone</t>
        </is>
      </c>
      <c r="C13" s="6" t="inlineStr">
        <is>
          <t>UltraWeather</t>
        </is>
      </c>
      <c r="D13" s="6" t="inlineStr">
        <is>
          <t>99V XL</t>
        </is>
      </c>
      <c r="E13" s="7" t="inlineStr">
        <is>
          <t>Not listed</t>
        </is>
      </c>
      <c r="F13" s="7" t="inlineStr">
        <is>
          <t>Not listed</t>
        </is>
      </c>
      <c r="G13" s="7" t="inlineStr">
        <is>
          <t>Not listed</t>
        </is>
      </c>
      <c r="H13" s="7" t="n">
        <v>329.99</v>
      </c>
      <c r="I13" s="7" t="inlineStr">
        <is>
          <t>Member price</t>
        </is>
      </c>
      <c r="J13" s="8">
        <f>IF(COUNT(E13:I13)=0,"Not published",MIN(E13:I13))</f>
        <v/>
      </c>
      <c r="K13" s="6">
        <f>IF(COUNT(E13:I13)=0,"n/a",INDEX($E$1:$I$1,MATCH(MIN(E13:I13),E13:I13,0))&amp;IF(COUNTIF(E13:I13,MIN(E13:I13))&gt;1," (tie x"&amp;COUNTIF(E13:I13,MIN(E13:I13))&amp;")",""))</f>
        <v/>
      </c>
      <c r="L13" s="7">
        <f>IF(COUNT(E13:I13)=0,"n/a",4*MIN(E13:I13))</f>
        <v/>
      </c>
      <c r="M13" s="6">
        <f>COUNT(E13:I13)</f>
        <v/>
      </c>
      <c r="N13" s="6" t="inlineStr">
        <is>
          <t>[V]</t>
        </is>
      </c>
      <c r="O13" s="2" t="inlineStr">
        <is>
          <t>Bridgestone mail-in up to $100</t>
        </is>
      </c>
    </row>
    <row r="14">
      <c r="A14" s="6" t="inlineStr">
        <is>
          <t>All-weather 3PMSF</t>
        </is>
      </c>
      <c r="B14" s="6" t="inlineStr">
        <is>
          <t>Falken</t>
        </is>
      </c>
      <c r="C14" s="6" t="inlineStr">
        <is>
          <t>Aklimate</t>
        </is>
      </c>
      <c r="D14" s="6" t="inlineStr">
        <is>
          <t>95V</t>
        </is>
      </c>
      <c r="E14" s="7" t="inlineStr">
        <is>
          <t>Not listed</t>
        </is>
      </c>
      <c r="F14" s="7" t="inlineStr">
        <is>
          <t>Not listed</t>
        </is>
      </c>
      <c r="G14" s="7" t="inlineStr">
        <is>
          <t>Not listed</t>
        </is>
      </c>
      <c r="H14" s="7" t="n">
        <v>268.99</v>
      </c>
      <c r="I14" s="7" t="inlineStr">
        <is>
          <t>Not listed</t>
        </is>
      </c>
      <c r="J14" s="8">
        <f>IF(COUNT(E14:I14)=0,"Not published",MIN(E14:I14))</f>
        <v/>
      </c>
      <c r="K14" s="6">
        <f>IF(COUNT(E14:I14)=0,"n/a",INDEX($E$1:$I$1,MATCH(MIN(E14:I14),E14:I14,0))&amp;IF(COUNTIF(E14:I14,MIN(E14:I14))&gt;1," (tie x"&amp;COUNTIF(E14:I14,MIN(E14:I14))&amp;")",""))</f>
        <v/>
      </c>
      <c r="L14" s="7">
        <f>IF(COUNT(E14:I14)=0,"n/a",4*MIN(E14:I14))</f>
        <v/>
      </c>
      <c r="M14" s="6">
        <f>COUNT(E14:I14)</f>
        <v/>
      </c>
      <c r="N14" s="6" t="inlineStr">
        <is>
          <t>[V]</t>
        </is>
      </c>
      <c r="O14" s="2" t="inlineStr">
        <is>
          <t>PMC lists Falken $80 rebate from Oct 1</t>
        </is>
      </c>
    </row>
    <row r="15">
      <c r="A15" s="6" t="inlineStr">
        <is>
          <t>All-weather 3PMSF</t>
        </is>
      </c>
      <c r="B15" s="6" t="inlineStr">
        <is>
          <t>Cooper</t>
        </is>
      </c>
      <c r="C15" s="6" t="inlineStr">
        <is>
          <t>TractionCommand</t>
        </is>
      </c>
      <c r="D15" s="6" t="inlineStr">
        <is>
          <t>95V</t>
        </is>
      </c>
      <c r="E15" s="7" t="inlineStr">
        <is>
          <t>Not listed</t>
        </is>
      </c>
      <c r="F15" s="7" t="inlineStr">
        <is>
          <t>Not listed</t>
        </is>
      </c>
      <c r="G15" s="7" t="inlineStr">
        <is>
          <t>Not listed</t>
        </is>
      </c>
      <c r="H15" s="7" t="n">
        <v>261.99</v>
      </c>
      <c r="I15" s="7" t="inlineStr">
        <is>
          <t>Not listed</t>
        </is>
      </c>
      <c r="J15" s="8">
        <f>IF(COUNT(E15:I15)=0,"Not published",MIN(E15:I15))</f>
        <v/>
      </c>
      <c r="K15" s="6">
        <f>IF(COUNT(E15:I15)=0,"n/a",INDEX($E$1:$I$1,MATCH(MIN(E15:I15),E15:I15,0))&amp;IF(COUNTIF(E15:I15,MIN(E15:I15))&gt;1," (tie x"&amp;COUNTIF(E15:I15,MIN(E15:I15))&amp;")",""))</f>
        <v/>
      </c>
      <c r="L15" s="7">
        <f>IF(COUNT(E15:I15)=0,"n/a",4*MIN(E15:I15))</f>
        <v/>
      </c>
      <c r="M15" s="6">
        <f>COUNT(E15:I15)</f>
        <v/>
      </c>
      <c r="N15" s="6" t="inlineStr">
        <is>
          <t>[V]</t>
        </is>
      </c>
      <c r="O15" s="2" t="inlineStr"/>
    </row>
    <row r="16">
      <c r="A16" s="6" t="inlineStr">
        <is>
          <t>All-season</t>
        </is>
      </c>
      <c r="B16" s="6" t="inlineStr">
        <is>
          <t>Michelin</t>
        </is>
      </c>
      <c r="C16" s="6" t="inlineStr">
        <is>
          <t>Defender2</t>
        </is>
      </c>
      <c r="D16" s="6" t="inlineStr">
        <is>
          <t>99V XL</t>
        </is>
      </c>
      <c r="E16" s="7" t="n">
        <v>278.95</v>
      </c>
      <c r="F16" s="7" t="n">
        <v>278.95</v>
      </c>
      <c r="G16" s="7" t="inlineStr">
        <is>
          <t>Not listed</t>
        </is>
      </c>
      <c r="H16" s="7" t="n">
        <v>287.99</v>
      </c>
      <c r="I16" s="7" t="inlineStr">
        <is>
          <t>Member price</t>
        </is>
      </c>
      <c r="J16" s="8">
        <f>IF(COUNT(E16:I16)=0,"Not published",MIN(E16:I16))</f>
        <v/>
      </c>
      <c r="K16" s="6">
        <f>IF(COUNT(E16:I16)=0,"n/a",INDEX($E$1:$I$1,MATCH(MIN(E16:I16),E16:I16,0))&amp;IF(COUNTIF(E16:I16,MIN(E16:I16))&gt;1," (tie x"&amp;COUNTIF(E16:I16,MIN(E16:I16))&amp;")",""))</f>
        <v/>
      </c>
      <c r="L16" s="7">
        <f>IF(COUNT(E16:I16)=0,"n/a",4*MIN(E16:I16))</f>
        <v/>
      </c>
      <c r="M16" s="6">
        <f>COUNT(E16:I16)</f>
        <v/>
      </c>
      <c r="N16" s="6" t="inlineStr">
        <is>
          <t>[V]</t>
        </is>
      </c>
      <c r="O16" s="2" t="inlineStr">
        <is>
          <t>Michelin mail-in up to $100; BC code PROMODEFENDER2 10%</t>
        </is>
      </c>
    </row>
    <row r="17">
      <c r="A17" s="6" t="inlineStr">
        <is>
          <t>All-season</t>
        </is>
      </c>
      <c r="B17" s="6" t="inlineStr">
        <is>
          <t>Michelin</t>
        </is>
      </c>
      <c r="C17" s="6" t="inlineStr">
        <is>
          <t>Defender 2 CUV (Kal Tire listing name)</t>
        </is>
      </c>
      <c r="D17" s="6" t="inlineStr">
        <is>
          <t>99V</t>
        </is>
      </c>
      <c r="E17" s="7" t="inlineStr">
        <is>
          <t>Not listed</t>
        </is>
      </c>
      <c r="F17" s="7" t="inlineStr">
        <is>
          <t>Not listed</t>
        </is>
      </c>
      <c r="G17" s="7" t="n">
        <v>278.95</v>
      </c>
      <c r="H17" s="7" t="inlineStr">
        <is>
          <t>Not listed</t>
        </is>
      </c>
      <c r="I17" s="7" t="inlineStr">
        <is>
          <t>Not listed</t>
        </is>
      </c>
      <c r="J17" s="8">
        <f>IF(COUNT(E17:I17)=0,"Not published",MIN(E17:I17))</f>
        <v/>
      </c>
      <c r="K17" s="6">
        <f>IF(COUNT(E17:I17)=0,"n/a",INDEX($E$1:$I$1,MATCH(MIN(E17:I17),E17:I17,0))&amp;IF(COUNTIF(E17:I17,MIN(E17:I17))&gt;1," (tie x"&amp;COUNTIF(E17:I17,MIN(E17:I17))&amp;")",""))</f>
        <v/>
      </c>
      <c r="L17" s="7">
        <f>IF(COUNT(E17:I17)=0,"n/a",4*MIN(E17:I17))</f>
        <v/>
      </c>
      <c r="M17" s="6">
        <f>COUNT(E17:I17)</f>
        <v/>
      </c>
      <c r="N17" s="6" t="inlineStr">
        <is>
          <t>[V]</t>
        </is>
      </c>
      <c r="O17" s="2" t="inlineStr">
        <is>
          <t>Kept separate: Kal names it 'CUV'; same price as Defender2 elsewhere — not confirmed identical</t>
        </is>
      </c>
    </row>
    <row r="18">
      <c r="A18" s="6" t="inlineStr">
        <is>
          <t>All-season</t>
        </is>
      </c>
      <c r="B18" s="6" t="inlineStr">
        <is>
          <t>Michelin</t>
        </is>
      </c>
      <c r="C18" s="6" t="inlineStr">
        <is>
          <t>Pilot Sport All Season 4</t>
        </is>
      </c>
      <c r="D18" s="6" t="inlineStr">
        <is>
          <t>99Y XL</t>
        </is>
      </c>
      <c r="E18" s="7" t="n">
        <v>286.95</v>
      </c>
      <c r="F18" s="7" t="n">
        <v>286.95</v>
      </c>
      <c r="G18" s="7" t="inlineStr">
        <is>
          <t>Not listed</t>
        </is>
      </c>
      <c r="H18" s="7" t="inlineStr">
        <is>
          <t>Not listed</t>
        </is>
      </c>
      <c r="I18" s="7" t="inlineStr">
        <is>
          <t>Not listed</t>
        </is>
      </c>
      <c r="J18" s="8">
        <f>IF(COUNT(E18:I18)=0,"Not published",MIN(E18:I18))</f>
        <v/>
      </c>
      <c r="K18" s="6">
        <f>IF(COUNT(E18:I18)=0,"n/a",INDEX($E$1:$I$1,MATCH(MIN(E18:I18),E18:I18,0))&amp;IF(COUNTIF(E18:I18,MIN(E18:I18))&gt;1," (tie x"&amp;COUNTIF(E18:I18,MIN(E18:I18))&amp;")",""))</f>
        <v/>
      </c>
      <c r="L18" s="7">
        <f>IF(COUNT(E18:I18)=0,"n/a",4*MIN(E18:I18))</f>
        <v/>
      </c>
      <c r="M18" s="6">
        <f>COUNT(E18:I18)</f>
        <v/>
      </c>
      <c r="N18" s="6" t="inlineStr">
        <is>
          <t>[V]</t>
        </is>
      </c>
      <c r="O18" s="2" t="inlineStr">
        <is>
          <t>Performance all-season; BC code AS4PROMO 15%</t>
        </is>
      </c>
    </row>
    <row r="19">
      <c r="A19" s="6" t="inlineStr">
        <is>
          <t>All-season</t>
        </is>
      </c>
      <c r="B19" s="6" t="inlineStr">
        <is>
          <t>Continental</t>
        </is>
      </c>
      <c r="C19" s="6" t="inlineStr">
        <is>
          <t>ExtremeContact DWS06 Plus</t>
        </is>
      </c>
      <c r="D19" s="6" t="inlineStr">
        <is>
          <t>95W</t>
        </is>
      </c>
      <c r="E19" s="7" t="n">
        <v>275.99</v>
      </c>
      <c r="F19" s="7" t="n">
        <v>275.99</v>
      </c>
      <c r="G19" s="7" t="inlineStr">
        <is>
          <t>Not listed</t>
        </is>
      </c>
      <c r="H19" s="7" t="n">
        <v>288.99</v>
      </c>
      <c r="I19" s="7" t="inlineStr">
        <is>
          <t>Not listed</t>
        </is>
      </c>
      <c r="J19" s="8">
        <f>IF(COUNT(E19:I19)=0,"Not published",MIN(E19:I19))</f>
        <v/>
      </c>
      <c r="K19" s="6">
        <f>IF(COUNT(E19:I19)=0,"n/a",INDEX($E$1:$I$1,MATCH(MIN(E19:I19),E19:I19,0))&amp;IF(COUNTIF(E19:I19,MIN(E19:I19))&gt;1," (tie x"&amp;COUNTIF(E19:I19,MIN(E19:I19))&amp;")",""))</f>
        <v/>
      </c>
      <c r="L19" s="7">
        <f>IF(COUNT(E19:I19)=0,"n/a",4*MIN(E19:I19))</f>
        <v/>
      </c>
      <c r="M19" s="6">
        <f>COUNT(E19:I19)</f>
        <v/>
      </c>
      <c r="N19" s="6" t="inlineStr">
        <is>
          <t>[V]</t>
        </is>
      </c>
      <c r="O19" s="2" t="inlineStr">
        <is>
          <t>BC code PROMODWS06 12%; Continental rebate $60–110</t>
        </is>
      </c>
    </row>
    <row r="20">
      <c r="A20" s="6" t="inlineStr">
        <is>
          <t>All-season</t>
        </is>
      </c>
      <c r="B20" s="6" t="inlineStr">
        <is>
          <t>Continental</t>
        </is>
      </c>
      <c r="C20" s="6" t="inlineStr">
        <is>
          <t>TrueContact Tour 54</t>
        </is>
      </c>
      <c r="D20" s="6" t="inlineStr">
        <is>
          <t>95H</t>
        </is>
      </c>
      <c r="E20" s="7" t="n">
        <v>251.99</v>
      </c>
      <c r="F20" s="7" t="n">
        <v>251.99</v>
      </c>
      <c r="G20" s="7" t="inlineStr">
        <is>
          <t>Not listed</t>
        </is>
      </c>
      <c r="H20" s="7" t="n">
        <v>266.99</v>
      </c>
      <c r="I20" s="7" t="inlineStr">
        <is>
          <t>Not listed</t>
        </is>
      </c>
      <c r="J20" s="8">
        <f>IF(COUNT(E20:I20)=0,"Not published",MIN(E20:I20))</f>
        <v/>
      </c>
      <c r="K20" s="6">
        <f>IF(COUNT(E20:I20)=0,"n/a",INDEX($E$1:$I$1,MATCH(MIN(E20:I20),E20:I20,0))&amp;IF(COUNTIF(E20:I20,MIN(E20:I20))&gt;1," (tie x"&amp;COUNTIF(E20:I20,MIN(E20:I20))&amp;")",""))</f>
        <v/>
      </c>
      <c r="L20" s="7">
        <f>IF(COUNT(E20:I20)=0,"n/a",4*MIN(E20:I20))</f>
        <v/>
      </c>
      <c r="M20" s="6">
        <f>COUNT(E20:I20)</f>
        <v/>
      </c>
      <c r="N20" s="6" t="inlineStr">
        <is>
          <t>[V]</t>
        </is>
      </c>
      <c r="O20" s="2" t="inlineStr">
        <is>
          <t>BC code TOUR54 12%</t>
        </is>
      </c>
    </row>
    <row r="21">
      <c r="A21" s="6" t="inlineStr">
        <is>
          <t>All-season</t>
        </is>
      </c>
      <c r="B21" s="6" t="inlineStr">
        <is>
          <t>Continental</t>
        </is>
      </c>
      <c r="C21" s="6" t="inlineStr">
        <is>
          <t>ProContact TX</t>
        </is>
      </c>
      <c r="D21" s="6" t="inlineStr">
        <is>
          <t>95V</t>
        </is>
      </c>
      <c r="E21" s="7" t="inlineStr">
        <is>
          <t>Not listed</t>
        </is>
      </c>
      <c r="F21" s="7" t="inlineStr">
        <is>
          <t>Not listed</t>
        </is>
      </c>
      <c r="G21" s="7" t="n">
        <v>280.91</v>
      </c>
      <c r="H21" s="7" t="inlineStr">
        <is>
          <t>Not listed</t>
        </is>
      </c>
      <c r="I21" s="7" t="inlineStr">
        <is>
          <t>Not listed</t>
        </is>
      </c>
      <c r="J21" s="8">
        <f>IF(COUNT(E21:I21)=0,"Not published",MIN(E21:I21))</f>
        <v/>
      </c>
      <c r="K21" s="6">
        <f>IF(COUNT(E21:I21)=0,"n/a",INDEX($E$1:$I$1,MATCH(MIN(E21:I21),E21:I21,0))&amp;IF(COUNTIF(E21:I21,MIN(E21:I21))&gt;1," (tie x"&amp;COUNTIF(E21:I21,MIN(E21:I21))&amp;")",""))</f>
        <v/>
      </c>
      <c r="L21" s="7">
        <f>IF(COUNT(E21:I21)=0,"n/a",4*MIN(E21:I21))</f>
        <v/>
      </c>
      <c r="M21" s="6">
        <f>COUNT(E21:I21)</f>
        <v/>
      </c>
      <c r="N21" s="6" t="inlineStr">
        <is>
          <t>[V]</t>
        </is>
      </c>
      <c r="O21" s="2" t="inlineStr">
        <is>
          <t>Continental mail-in $60</t>
        </is>
      </c>
    </row>
    <row r="22">
      <c r="A22" s="6" t="inlineStr">
        <is>
          <t>All-season</t>
        </is>
      </c>
      <c r="B22" s="6" t="inlineStr">
        <is>
          <t>Bridgestone</t>
        </is>
      </c>
      <c r="C22" s="6" t="inlineStr">
        <is>
          <t>Turanza EverDrive</t>
        </is>
      </c>
      <c r="D22" s="6" t="inlineStr">
        <is>
          <t>99V XL</t>
        </is>
      </c>
      <c r="E22" s="7" t="n">
        <v>263.99</v>
      </c>
      <c r="F22" s="7" t="n">
        <v>263.99</v>
      </c>
      <c r="G22" s="7" t="inlineStr">
        <is>
          <t>Not listed</t>
        </is>
      </c>
      <c r="H22" s="7" t="n">
        <v>271.99</v>
      </c>
      <c r="I22" s="7" t="inlineStr">
        <is>
          <t>Member price</t>
        </is>
      </c>
      <c r="J22" s="8">
        <f>IF(COUNT(E22:I22)=0,"Not published",MIN(E22:I22))</f>
        <v/>
      </c>
      <c r="K22" s="6">
        <f>IF(COUNT(E22:I22)=0,"n/a",INDEX($E$1:$I$1,MATCH(MIN(E22:I22),E22:I22,0))&amp;IF(COUNTIF(E22:I22,MIN(E22:I22))&gt;1," (tie x"&amp;COUNTIF(E22:I22,MIN(E22:I22))&amp;")",""))</f>
        <v/>
      </c>
      <c r="L22" s="7">
        <f>IF(COUNT(E22:I22)=0,"n/a",4*MIN(E22:I22))</f>
        <v/>
      </c>
      <c r="M22" s="6">
        <f>COUNT(E22:I22)</f>
        <v/>
      </c>
      <c r="N22" s="6" t="inlineStr">
        <is>
          <t>[V]</t>
        </is>
      </c>
      <c r="O22" s="2" t="inlineStr">
        <is>
          <t>Bridgestone mail-in up to $100</t>
        </is>
      </c>
    </row>
    <row r="23">
      <c r="A23" s="6" t="inlineStr">
        <is>
          <t>All-season</t>
        </is>
      </c>
      <c r="B23" s="6" t="inlineStr">
        <is>
          <t>Bridgestone</t>
        </is>
      </c>
      <c r="C23" s="6" t="inlineStr">
        <is>
          <t>Turanza LS100</t>
        </is>
      </c>
      <c r="D23" s="6" t="inlineStr">
        <is>
          <t>95H</t>
        </is>
      </c>
      <c r="E23" s="7" t="inlineStr">
        <is>
          <t>Not listed</t>
        </is>
      </c>
      <c r="F23" s="7" t="inlineStr">
        <is>
          <t>Not listed</t>
        </is>
      </c>
      <c r="G23" s="7" t="inlineStr">
        <is>
          <t>Not listed</t>
        </is>
      </c>
      <c r="H23" s="7" t="inlineStr">
        <is>
          <t>Not listed</t>
        </is>
      </c>
      <c r="I23" s="7" t="n">
        <v>359.99</v>
      </c>
      <c r="J23" s="8">
        <f>IF(COUNT(E23:I23)=0,"Not published",MIN(E23:I23))</f>
        <v/>
      </c>
      <c r="K23" s="6">
        <f>IF(COUNT(E23:I23)=0,"n/a",INDEX($E$1:$I$1,MATCH(MIN(E23:I23),E23:I23,0))&amp;IF(COUNTIF(E23:I23,MIN(E23:I23))&gt;1," (tie x"&amp;COUNTIF(E23:I23,MIN(E23:I23))&amp;")",""))</f>
        <v/>
      </c>
      <c r="L23" s="7">
        <f>IF(COUNT(E23:I23)=0,"n/a",4*MIN(E23:I23))</f>
        <v/>
      </c>
      <c r="M23" s="6">
        <f>COUNT(E23:I23)</f>
        <v/>
      </c>
      <c r="N23" s="6" t="inlineStr">
        <is>
          <t>[V]</t>
        </is>
      </c>
      <c r="O23" s="2" t="inlineStr">
        <is>
          <t>Costco: OE fitment on VW per site; $100 off set of 4 to Oct 4; install included</t>
        </is>
      </c>
    </row>
    <row r="24">
      <c r="A24" s="6" t="inlineStr">
        <is>
          <t>All-season</t>
        </is>
      </c>
      <c r="B24" s="6" t="inlineStr">
        <is>
          <t>Bridgestone</t>
        </is>
      </c>
      <c r="C24" s="6" t="inlineStr">
        <is>
          <t>Potenza RE97AS</t>
        </is>
      </c>
      <c r="D24" s="6" t="inlineStr">
        <is>
          <t>95H</t>
        </is>
      </c>
      <c r="E24" s="7" t="inlineStr">
        <is>
          <t>Not listed</t>
        </is>
      </c>
      <c r="F24" s="7" t="inlineStr">
        <is>
          <t>Not listed</t>
        </is>
      </c>
      <c r="G24" s="7" t="inlineStr">
        <is>
          <t>Not listed</t>
        </is>
      </c>
      <c r="H24" s="7" t="inlineStr">
        <is>
          <t>Not listed</t>
        </is>
      </c>
      <c r="I24" s="7" t="n">
        <v>324.99</v>
      </c>
      <c r="J24" s="8">
        <f>IF(COUNT(E24:I24)=0,"Not published",MIN(E24:I24))</f>
        <v/>
      </c>
      <c r="K24" s="6">
        <f>IF(COUNT(E24:I24)=0,"n/a",INDEX($E$1:$I$1,MATCH(MIN(E24:I24),E24:I24,0))&amp;IF(COUNTIF(E24:I24,MIN(E24:I24))&gt;1," (tie x"&amp;COUNTIF(E24:I24,MIN(E24:I24))&amp;")",""))</f>
        <v/>
      </c>
      <c r="L24" s="7">
        <f>IF(COUNT(E24:I24)=0,"n/a",4*MIN(E24:I24))</f>
        <v/>
      </c>
      <c r="M24" s="6">
        <f>COUNT(E24:I24)</f>
        <v/>
      </c>
      <c r="N24" s="6" t="inlineStr">
        <is>
          <t>[V]</t>
        </is>
      </c>
      <c r="O24" s="2" t="inlineStr">
        <is>
          <t>Costco: $100 off set of 4 to Oct 4; install included</t>
        </is>
      </c>
    </row>
    <row r="25">
      <c r="A25" s="6" t="inlineStr">
        <is>
          <t>All-season</t>
        </is>
      </c>
      <c r="B25" s="6" t="inlineStr">
        <is>
          <t>Bridgestone</t>
        </is>
      </c>
      <c r="C25" s="6" t="inlineStr">
        <is>
          <t>Potenza RE980AS+</t>
        </is>
      </c>
      <c r="D25" s="6" t="inlineStr">
        <is>
          <t>95W</t>
        </is>
      </c>
      <c r="E25" s="7" t="inlineStr">
        <is>
          <t>Not listed</t>
        </is>
      </c>
      <c r="F25" s="7" t="inlineStr">
        <is>
          <t>Not listed</t>
        </is>
      </c>
      <c r="G25" s="7" t="n">
        <v>249.13</v>
      </c>
      <c r="H25" s="7" t="inlineStr">
        <is>
          <t>Not listed</t>
        </is>
      </c>
      <c r="I25" s="7" t="inlineStr">
        <is>
          <t>Not listed</t>
        </is>
      </c>
      <c r="J25" s="8">
        <f>IF(COUNT(E25:I25)=0,"Not published",MIN(E25:I25))</f>
        <v/>
      </c>
      <c r="K25" s="6">
        <f>IF(COUNT(E25:I25)=0,"n/a",INDEX($E$1:$I$1,MATCH(MIN(E25:I25),E25:I25,0))&amp;IF(COUNTIF(E25:I25,MIN(E25:I25))&gt;1," (tie x"&amp;COUNTIF(E25:I25,MIN(E25:I25))&amp;")",""))</f>
        <v/>
      </c>
      <c r="L25" s="7">
        <f>IF(COUNT(E25:I25)=0,"n/a",4*MIN(E25:I25))</f>
        <v/>
      </c>
      <c r="M25" s="6">
        <f>COUNT(E25:I25)</f>
        <v/>
      </c>
      <c r="N25" s="6" t="inlineStr">
        <is>
          <t>[V]</t>
        </is>
      </c>
      <c r="O25" s="2" t="inlineStr">
        <is>
          <t>Kal: price from product data only; stock/promo not checked</t>
        </is>
      </c>
    </row>
    <row r="26">
      <c r="A26" s="6" t="inlineStr">
        <is>
          <t>All-season</t>
        </is>
      </c>
      <c r="B26" s="6" t="inlineStr">
        <is>
          <t>Pirelli</t>
        </is>
      </c>
      <c r="C26" s="6" t="inlineStr">
        <is>
          <t>P7 All Season Plus 3</t>
        </is>
      </c>
      <c r="D26" s="6" t="inlineStr">
        <is>
          <t>95V</t>
        </is>
      </c>
      <c r="E26" s="7" t="n">
        <v>255.78</v>
      </c>
      <c r="F26" s="7" t="n">
        <v>255.78</v>
      </c>
      <c r="G26" s="7" t="n">
        <v>264.1</v>
      </c>
      <c r="H26" s="7" t="inlineStr">
        <is>
          <t>Not listed</t>
        </is>
      </c>
      <c r="I26" s="7" t="inlineStr">
        <is>
          <t>Not listed</t>
        </is>
      </c>
      <c r="J26" s="8">
        <f>IF(COUNT(E26:I26)=0,"Not published",MIN(E26:I26))</f>
        <v/>
      </c>
      <c r="K26" s="6">
        <f>IF(COUNT(E26:I26)=0,"n/a",INDEX($E$1:$I$1,MATCH(MIN(E26:I26),E26:I26,0))&amp;IF(COUNTIF(E26:I26,MIN(E26:I26))&gt;1," (tie x"&amp;COUNTIF(E26:I26,MIN(E26:I26))&amp;")",""))</f>
        <v/>
      </c>
      <c r="L26" s="7">
        <f>IF(COUNT(E26:I26)=0,"n/a",4*MIN(E26:I26))</f>
        <v/>
      </c>
      <c r="M26" s="6">
        <f>COUNT(E26:I26)</f>
        <v/>
      </c>
      <c r="N26" s="6" t="inlineStr">
        <is>
          <t>[V]</t>
        </is>
      </c>
      <c r="O26" s="2" t="inlineStr">
        <is>
          <t>BC code P7ASPLUS3 10%</t>
        </is>
      </c>
    </row>
    <row r="27">
      <c r="A27" s="6" t="inlineStr">
        <is>
          <t>All-season</t>
        </is>
      </c>
      <c r="B27" s="6" t="inlineStr">
        <is>
          <t>Pirelli</t>
        </is>
      </c>
      <c r="C27" s="6" t="inlineStr">
        <is>
          <t>P Zero All Season Plus 3</t>
        </is>
      </c>
      <c r="D27" s="6" t="inlineStr">
        <is>
          <t>95Y</t>
        </is>
      </c>
      <c r="E27" s="7" t="inlineStr">
        <is>
          <t>Not listed</t>
        </is>
      </c>
      <c r="F27" s="7" t="inlineStr">
        <is>
          <t>Not listed</t>
        </is>
      </c>
      <c r="G27" s="7" t="n">
        <v>265.89</v>
      </c>
      <c r="H27" s="7" t="inlineStr">
        <is>
          <t>Not listed</t>
        </is>
      </c>
      <c r="I27" s="7" t="inlineStr">
        <is>
          <t>Not listed</t>
        </is>
      </c>
      <c r="J27" s="8">
        <f>IF(COUNT(E27:I27)=0,"Not published",MIN(E27:I27))</f>
        <v/>
      </c>
      <c r="K27" s="6">
        <f>IF(COUNT(E27:I27)=0,"n/a",INDEX($E$1:$I$1,MATCH(MIN(E27:I27),E27:I27,0))&amp;IF(COUNTIF(E27:I27,MIN(E27:I27))&gt;1," (tie x"&amp;COUNTIF(E27:I27,MIN(E27:I27))&amp;")",""))</f>
        <v/>
      </c>
      <c r="L27" s="7">
        <f>IF(COUNT(E27:I27)=0,"n/a",4*MIN(E27:I27))</f>
        <v/>
      </c>
      <c r="M27" s="6">
        <f>COUNT(E27:I27)</f>
        <v/>
      </c>
      <c r="N27" s="6" t="inlineStr">
        <is>
          <t>[V]</t>
        </is>
      </c>
      <c r="O27" s="2" t="inlineStr"/>
    </row>
    <row r="28">
      <c r="A28" s="6" t="inlineStr">
        <is>
          <t>All-season</t>
        </is>
      </c>
      <c r="B28" s="6" t="inlineStr">
        <is>
          <t>Pirelli</t>
        </is>
      </c>
      <c r="C28" s="6" t="inlineStr">
        <is>
          <t>Cinturato P7 All Season</t>
        </is>
      </c>
      <c r="D28" s="6" t="inlineStr">
        <is>
          <t>95V</t>
        </is>
      </c>
      <c r="E28" s="7" t="inlineStr">
        <is>
          <t>Not listed</t>
        </is>
      </c>
      <c r="F28" s="7" t="inlineStr">
        <is>
          <t>Not listed</t>
        </is>
      </c>
      <c r="G28" s="7" t="inlineStr">
        <is>
          <t>Not listed</t>
        </is>
      </c>
      <c r="H28" s="7" t="n">
        <v>315.99</v>
      </c>
      <c r="I28" s="7" t="inlineStr">
        <is>
          <t>Not listed</t>
        </is>
      </c>
      <c r="J28" s="8">
        <f>IF(COUNT(E28:I28)=0,"Not published",MIN(E28:I28))</f>
        <v/>
      </c>
      <c r="K28" s="6">
        <f>IF(COUNT(E28:I28)=0,"n/a",INDEX($E$1:$I$1,MATCH(MIN(E28:I28),E28:I28,0))&amp;IF(COUNTIF(E28:I28,MIN(E28:I28))&gt;1," (tie x"&amp;COUNTIF(E28:I28,MIN(E28:I28))&amp;")",""))</f>
        <v/>
      </c>
      <c r="L28" s="7">
        <f>IF(COUNT(E28:I28)=0,"n/a",4*MIN(E28:I28))</f>
        <v/>
      </c>
      <c r="M28" s="6">
        <f>COUNT(E28:I28)</f>
        <v/>
      </c>
      <c r="N28" s="6" t="inlineStr">
        <is>
          <t>[V]</t>
        </is>
      </c>
      <c r="O28" s="2" t="inlineStr">
        <is>
          <t>Older model than P7 AS Plus 3</t>
        </is>
      </c>
    </row>
    <row r="29">
      <c r="A29" s="6" t="inlineStr">
        <is>
          <t>All-season</t>
        </is>
      </c>
      <c r="B29" s="6" t="inlineStr">
        <is>
          <t>Goodyear</t>
        </is>
      </c>
      <c r="C29" s="6" t="inlineStr">
        <is>
          <t>Assurance MaxLife 2</t>
        </is>
      </c>
      <c r="D29" s="6" t="inlineStr">
        <is>
          <t>99V XL</t>
        </is>
      </c>
      <c r="E29" s="7" t="n">
        <v>246.77</v>
      </c>
      <c r="F29" s="7" t="n">
        <v>259.39</v>
      </c>
      <c r="G29" s="7" t="inlineStr">
        <is>
          <t>Not listed</t>
        </is>
      </c>
      <c r="H29" s="7" t="n">
        <v>271.99</v>
      </c>
      <c r="I29" s="7" t="inlineStr">
        <is>
          <t>Not listed</t>
        </is>
      </c>
      <c r="J29" s="8">
        <f>IF(COUNT(E29:I29)=0,"Not published",MIN(E29:I29))</f>
        <v/>
      </c>
      <c r="K29" s="6">
        <f>IF(COUNT(E29:I29)=0,"n/a",INDEX($E$1:$I$1,MATCH(MIN(E29:I29),E29:I29,0))&amp;IF(COUNTIF(E29:I29,MIN(E29:I29))&gt;1," (tie x"&amp;COUNTIF(E29:I29,MIN(E29:I29))&amp;")",""))</f>
        <v/>
      </c>
      <c r="L29" s="7">
        <f>IF(COUNT(E29:I29)=0,"n/a",4*MIN(E29:I29))</f>
        <v/>
      </c>
      <c r="M29" s="6">
        <f>COUNT(E29:I29)</f>
        <v/>
      </c>
      <c r="N29" s="6" t="inlineStr">
        <is>
          <t>[V]</t>
        </is>
      </c>
      <c r="O29" s="2" t="inlineStr">
        <is>
          <t>Goodyear mail-in $60 (PMC)</t>
        </is>
      </c>
    </row>
    <row r="30">
      <c r="A30" s="6" t="inlineStr">
        <is>
          <t>All-season</t>
        </is>
      </c>
      <c r="B30" s="6" t="inlineStr">
        <is>
          <t>Goodyear</t>
        </is>
      </c>
      <c r="C30" s="6" t="inlineStr">
        <is>
          <t>Assurance ComfortDrive</t>
        </is>
      </c>
      <c r="D30" s="6" t="inlineStr">
        <is>
          <t>95V</t>
        </is>
      </c>
      <c r="E30" s="7" t="inlineStr">
        <is>
          <t>Not listed</t>
        </is>
      </c>
      <c r="F30" s="7" t="inlineStr">
        <is>
          <t>Not listed</t>
        </is>
      </c>
      <c r="G30" s="7" t="inlineStr">
        <is>
          <t>Not listed</t>
        </is>
      </c>
      <c r="H30" s="7" t="n">
        <v>272.99</v>
      </c>
      <c r="I30" s="7" t="inlineStr">
        <is>
          <t>Not listed</t>
        </is>
      </c>
      <c r="J30" s="8">
        <f>IF(COUNT(E30:I30)=0,"Not published",MIN(E30:I30))</f>
        <v/>
      </c>
      <c r="K30" s="6">
        <f>IF(COUNT(E30:I30)=0,"n/a",INDEX($E$1:$I$1,MATCH(MIN(E30:I30),E30:I30,0))&amp;IF(COUNTIF(E30:I30,MIN(E30:I30))&gt;1," (tie x"&amp;COUNTIF(E30:I30,MIN(E30:I30))&amp;")",""))</f>
        <v/>
      </c>
      <c r="L30" s="7">
        <f>IF(COUNT(E30:I30)=0,"n/a",4*MIN(E30:I30))</f>
        <v/>
      </c>
      <c r="M30" s="6">
        <f>COUNT(E30:I30)</f>
        <v/>
      </c>
      <c r="N30" s="6" t="inlineStr">
        <is>
          <t>[V]</t>
        </is>
      </c>
      <c r="O30" s="2" t="inlineStr"/>
    </row>
    <row r="31">
      <c r="A31" s="6" t="inlineStr">
        <is>
          <t>All-season</t>
        </is>
      </c>
      <c r="B31" s="6" t="inlineStr">
        <is>
          <t>Firestone</t>
        </is>
      </c>
      <c r="C31" s="6" t="inlineStr">
        <is>
          <t>Firehawk AS V2</t>
        </is>
      </c>
      <c r="D31" s="6" t="inlineStr">
        <is>
          <t>95W</t>
        </is>
      </c>
      <c r="E31" s="7" t="inlineStr">
        <is>
          <t>Not listed</t>
        </is>
      </c>
      <c r="F31" s="7" t="inlineStr">
        <is>
          <t>Not listed</t>
        </is>
      </c>
      <c r="G31" s="7" t="n">
        <v>248.96</v>
      </c>
      <c r="H31" s="7" t="n">
        <v>245.99</v>
      </c>
      <c r="I31" s="7" t="inlineStr">
        <is>
          <t>Member price</t>
        </is>
      </c>
      <c r="J31" s="8">
        <f>IF(COUNT(E31:I31)=0,"Not published",MIN(E31:I31))</f>
        <v/>
      </c>
      <c r="K31" s="6">
        <f>IF(COUNT(E31:I31)=0,"n/a",INDEX($E$1:$I$1,MATCH(MIN(E31:I31),E31:I31,0))&amp;IF(COUNTIF(E31:I31,MIN(E31:I31))&gt;1," (tie x"&amp;COUNTIF(E31:I31,MIN(E31:I31))&amp;")",""))</f>
        <v/>
      </c>
      <c r="L31" s="7">
        <f>IF(COUNT(E31:I31)=0,"n/a",4*MIN(E31:I31))</f>
        <v/>
      </c>
      <c r="M31" s="6">
        <f>COUNT(E31:I31)</f>
        <v/>
      </c>
      <c r="N31" s="6" t="inlineStr">
        <is>
          <t>[V]</t>
        </is>
      </c>
      <c r="O31" s="2" t="inlineStr">
        <is>
          <t>Firestone mail-in $60</t>
        </is>
      </c>
    </row>
    <row r="32">
      <c r="A32" s="6" t="inlineStr">
        <is>
          <t>All-season</t>
        </is>
      </c>
      <c r="B32" s="6" t="inlineStr">
        <is>
          <t>Nokian</t>
        </is>
      </c>
      <c r="C32" s="6" t="inlineStr">
        <is>
          <t>Surpass AS01</t>
        </is>
      </c>
      <c r="D32" s="6" t="inlineStr">
        <is>
          <t>99W</t>
        </is>
      </c>
      <c r="E32" s="7" t="inlineStr">
        <is>
          <t>Not listed</t>
        </is>
      </c>
      <c r="F32" s="7" t="inlineStr">
        <is>
          <t>Not listed</t>
        </is>
      </c>
      <c r="G32" s="7" t="n">
        <v>239.11</v>
      </c>
      <c r="H32" s="7" t="inlineStr">
        <is>
          <t>Not listed</t>
        </is>
      </c>
      <c r="I32" s="7" t="inlineStr">
        <is>
          <t>Not listed</t>
        </is>
      </c>
      <c r="J32" s="8">
        <f>IF(COUNT(E32:I32)=0,"Not published",MIN(E32:I32))</f>
        <v/>
      </c>
      <c r="K32" s="6">
        <f>IF(COUNT(E32:I32)=0,"n/a",INDEX($E$1:$I$1,MATCH(MIN(E32:I32),E32:I32,0))&amp;IF(COUNTIF(E32:I32,MIN(E32:I32))&gt;1," (tie x"&amp;COUNTIF(E32:I32,MIN(E32:I32))&amp;")",""))</f>
        <v/>
      </c>
      <c r="L32" s="7">
        <f>IF(COUNT(E32:I32)=0,"n/a",4*MIN(E32:I32))</f>
        <v/>
      </c>
      <c r="M32" s="6">
        <f>COUNT(E32:I32)</f>
        <v/>
      </c>
      <c r="N32" s="6" t="inlineStr">
        <is>
          <t>[V]</t>
        </is>
      </c>
      <c r="O32" s="2" t="inlineStr"/>
    </row>
    <row r="33">
      <c r="A33" s="6" t="inlineStr">
        <is>
          <t>All-season</t>
        </is>
      </c>
      <c r="B33" s="6" t="inlineStr">
        <is>
          <t>Nokian</t>
        </is>
      </c>
      <c r="C33" s="6" t="inlineStr">
        <is>
          <t>One</t>
        </is>
      </c>
      <c r="D33" s="6" t="inlineStr">
        <is>
          <t>99V</t>
        </is>
      </c>
      <c r="E33" s="7" t="inlineStr">
        <is>
          <t>Not listed</t>
        </is>
      </c>
      <c r="F33" s="7" t="inlineStr">
        <is>
          <t>Not listed</t>
        </is>
      </c>
      <c r="G33" s="7" t="n">
        <v>236.19</v>
      </c>
      <c r="H33" s="7" t="inlineStr">
        <is>
          <t>Not listed</t>
        </is>
      </c>
      <c r="I33" s="7" t="inlineStr">
        <is>
          <t>Not listed</t>
        </is>
      </c>
      <c r="J33" s="8">
        <f>IF(COUNT(E33:I33)=0,"Not published",MIN(E33:I33))</f>
        <v/>
      </c>
      <c r="K33" s="6">
        <f>IF(COUNT(E33:I33)=0,"n/a",INDEX($E$1:$I$1,MATCH(MIN(E33:I33),E33:I33,0))&amp;IF(COUNTIF(E33:I33,MIN(E33:I33))&gt;1," (tie x"&amp;COUNTIF(E33:I33,MIN(E33:I33))&amp;")",""))</f>
        <v/>
      </c>
      <c r="L33" s="7">
        <f>IF(COUNT(E33:I33)=0,"n/a",4*MIN(E33:I33))</f>
        <v/>
      </c>
      <c r="M33" s="6">
        <f>COUNT(E33:I33)</f>
        <v/>
      </c>
      <c r="N33" s="6" t="inlineStr">
        <is>
          <t>[V]</t>
        </is>
      </c>
      <c r="O33" s="2" t="inlineStr">
        <is>
          <t>Lowest priced tire found in 225/50R18</t>
        </is>
      </c>
    </row>
  </sheetData>
  <autoFilter ref="A1:O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34" customWidth="1" min="3" max="3"/>
    <col width="14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5" customWidth="1" min="12" max="12"/>
    <col width="10" customWidth="1" min="13" max="13"/>
    <col width="7" customWidth="1" min="14" max="14"/>
    <col width="70" customWidth="1" min="15" max="15"/>
  </cols>
  <sheetData>
    <row r="1">
      <c r="A1" s="4" t="inlineStr">
        <is>
          <t>Category</t>
        </is>
      </c>
      <c r="B1" s="4" t="inlineStr">
        <is>
          <t>Brand</t>
        </is>
      </c>
      <c r="C1" s="4" t="inlineStr">
        <is>
          <t>Model</t>
        </is>
      </c>
      <c r="D1" s="4" t="inlineStr">
        <is>
          <t>Load / speed (OE-or-better)</t>
        </is>
      </c>
      <c r="E1" s="4" t="inlineStr">
        <is>
          <t>Blackcircles.ca</t>
        </is>
      </c>
      <c r="F1" s="4" t="inlineStr">
        <is>
          <t>PMCtire.com</t>
        </is>
      </c>
      <c r="G1" s="4" t="inlineStr">
        <is>
          <t>Kal Tire</t>
        </is>
      </c>
      <c r="H1" s="4" t="inlineStr">
        <is>
          <t>Point S</t>
        </is>
      </c>
      <c r="I1" s="4" t="inlineStr">
        <is>
          <t>Costco</t>
        </is>
      </c>
      <c r="J1" s="4" t="inlineStr">
        <is>
          <t>Lowest CAD $/tire</t>
        </is>
      </c>
      <c r="K1" s="4" t="inlineStr">
        <is>
          <t>Lowest at</t>
        </is>
      </c>
      <c r="L1" s="4" t="inlineStr">
        <is>
          <t>Set of 4 at lowest (CAD $)</t>
        </is>
      </c>
      <c r="M1" s="4" t="inlineStr">
        <is>
          <t># retailers priced</t>
        </is>
      </c>
      <c r="N1" s="4" t="inlineStr">
        <is>
          <t>Verif</t>
        </is>
      </c>
      <c r="O1" s="4" t="inlineStr">
        <is>
          <t>Notes / promos (per tire prices exclude mail-in rebates)</t>
        </is>
      </c>
    </row>
    <row r="2">
      <c r="A2" s="6" t="inlineStr">
        <is>
          <t>All-weather 3PMSF</t>
        </is>
      </c>
      <c r="B2" s="6" t="inlineStr">
        <is>
          <t>Goodyear</t>
        </is>
      </c>
      <c r="C2" s="6" t="inlineStr">
        <is>
          <t>Assurance WeatherReady 2</t>
        </is>
      </c>
      <c r="D2" s="6" t="inlineStr">
        <is>
          <t>96W XL</t>
        </is>
      </c>
      <c r="E2" s="7" t="n">
        <v>408.99</v>
      </c>
      <c r="F2" s="7" t="inlineStr">
        <is>
          <t>Out of stock</t>
        </is>
      </c>
      <c r="G2" s="7" t="inlineStr">
        <is>
          <t>Not listed</t>
        </is>
      </c>
      <c r="H2" s="7" t="n">
        <v>425.99</v>
      </c>
      <c r="I2" s="7" t="inlineStr">
        <is>
          <t>Not listed</t>
        </is>
      </c>
      <c r="J2" s="8">
        <f>IF(COUNT(E2:I2)=0,"Not published",MIN(E2:I2))</f>
        <v/>
      </c>
      <c r="K2" s="6">
        <f>IF(COUNT(E2:I2)=0,"n/a",INDEX($E$1:$I$1,MATCH(MIN(E2:I2),E2:I2,0))&amp;IF(COUNTIF(E2:I2,MIN(E2:I2))&gt;1," (tie x"&amp;COUNTIF(E2:I2,MIN(E2:I2))&amp;")",""))</f>
        <v/>
      </c>
      <c r="L2" s="7">
        <f>IF(COUNT(E2:I2)=0,"n/a",4*MIN(E2:I2))</f>
        <v/>
      </c>
      <c r="M2" s="6">
        <f>COUNT(E2:I2)</f>
        <v/>
      </c>
      <c r="N2" s="6" t="inlineStr">
        <is>
          <t>[V]</t>
        </is>
      </c>
      <c r="O2" s="2" t="inlineStr">
        <is>
          <t>PMC lists at $408.99 but out of stock; Goodyear mail-in up to $100</t>
        </is>
      </c>
    </row>
    <row r="3">
      <c r="A3" s="6" t="inlineStr">
        <is>
          <t>All-weather 3PMSF</t>
        </is>
      </c>
      <c r="B3" s="6" t="inlineStr">
        <is>
          <t>Toyo</t>
        </is>
      </c>
      <c r="C3" s="6" t="inlineStr">
        <is>
          <t>Celsius Sport</t>
        </is>
      </c>
      <c r="D3" s="6" t="inlineStr">
        <is>
          <t>96W XL</t>
        </is>
      </c>
      <c r="E3" s="7" t="n">
        <v>332</v>
      </c>
      <c r="F3" s="7" t="inlineStr">
        <is>
          <t>Out of stock</t>
        </is>
      </c>
      <c r="G3" s="7" t="inlineStr">
        <is>
          <t>Not listed</t>
        </is>
      </c>
      <c r="H3" s="7" t="n">
        <v>350.99</v>
      </c>
      <c r="I3" s="7" t="inlineStr">
        <is>
          <t>Not listed</t>
        </is>
      </c>
      <c r="J3" s="8">
        <f>IF(COUNT(E3:I3)=0,"Not published",MIN(E3:I3))</f>
        <v/>
      </c>
      <c r="K3" s="6">
        <f>IF(COUNT(E3:I3)=0,"n/a",INDEX($E$1:$I$1,MATCH(MIN(E3:I3),E3:I3,0))&amp;IF(COUNTIF(E3:I3,MIN(E3:I3))&gt;1," (tie x"&amp;COUNTIF(E3:I3,MIN(E3:I3))&amp;")",""))</f>
        <v/>
      </c>
      <c r="L3" s="7">
        <f>IF(COUNT(E3:I3)=0,"n/a",4*MIN(E3:I3))</f>
        <v/>
      </c>
      <c r="M3" s="6">
        <f>COUNT(E3:I3)</f>
        <v/>
      </c>
      <c r="N3" s="6" t="inlineStr">
        <is>
          <t>[V]</t>
        </is>
      </c>
      <c r="O3" s="2" t="inlineStr">
        <is>
          <t>PMC lists at $332.00 but out of stock; BC has 3 in stock</t>
        </is>
      </c>
    </row>
    <row r="4">
      <c r="A4" s="6" t="inlineStr">
        <is>
          <t>All-weather 3PMSF</t>
        </is>
      </c>
      <c r="B4" s="6" t="inlineStr">
        <is>
          <t>Vredestein</t>
        </is>
      </c>
      <c r="C4" s="6" t="inlineStr">
        <is>
          <t>Quatrac Pro+</t>
        </is>
      </c>
      <c r="D4" s="6" t="inlineStr">
        <is>
          <t>96W XL</t>
        </is>
      </c>
      <c r="E4" s="7" t="n">
        <v>310.58</v>
      </c>
      <c r="F4" s="7" t="n">
        <v>287.98</v>
      </c>
      <c r="G4" s="7" t="inlineStr">
        <is>
          <t>Not listed</t>
        </is>
      </c>
      <c r="H4" s="7" t="inlineStr">
        <is>
          <t>Not listed</t>
        </is>
      </c>
      <c r="I4" s="7" t="inlineStr">
        <is>
          <t>Not listed</t>
        </is>
      </c>
      <c r="J4" s="8">
        <f>IF(COUNT(E4:I4)=0,"Not published",MIN(E4:I4))</f>
        <v/>
      </c>
      <c r="K4" s="6">
        <f>IF(COUNT(E4:I4)=0,"n/a",INDEX($E$1:$I$1,MATCH(MIN(E4:I4),E4:I4,0))&amp;IF(COUNTIF(E4:I4,MIN(E4:I4))&gt;1," (tie x"&amp;COUNTIF(E4:I4,MIN(E4:I4))&amp;")",""))</f>
        <v/>
      </c>
      <c r="L4" s="7">
        <f>IF(COUNT(E4:I4)=0,"n/a",4*MIN(E4:I4))</f>
        <v/>
      </c>
      <c r="M4" s="6">
        <f>COUNT(E4:I4)</f>
        <v/>
      </c>
      <c r="N4" s="6" t="inlineStr">
        <is>
          <t>[V]</t>
        </is>
      </c>
      <c r="O4" s="2" t="inlineStr"/>
    </row>
    <row r="5">
      <c r="A5" s="6" t="inlineStr">
        <is>
          <t>All-weather 3PMSF</t>
        </is>
      </c>
      <c r="B5" s="6" t="inlineStr">
        <is>
          <t>Nitto</t>
        </is>
      </c>
      <c r="C5" s="6" t="inlineStr">
        <is>
          <t>Motivo 365</t>
        </is>
      </c>
      <c r="D5" s="6" t="inlineStr">
        <is>
          <t>96W XL</t>
        </is>
      </c>
      <c r="E5" s="7" t="n">
        <v>273.7</v>
      </c>
      <c r="F5" s="7" t="n">
        <v>275.73</v>
      </c>
      <c r="G5" s="7" t="n">
        <v>294.1</v>
      </c>
      <c r="H5" s="7" t="n">
        <v>290.99</v>
      </c>
      <c r="I5" s="7" t="inlineStr">
        <is>
          <t>Not listed</t>
        </is>
      </c>
      <c r="J5" s="8">
        <f>IF(COUNT(E5:I5)=0,"Not published",MIN(E5:I5))</f>
        <v/>
      </c>
      <c r="K5" s="6">
        <f>IF(COUNT(E5:I5)=0,"n/a",INDEX($E$1:$I$1,MATCH(MIN(E5:I5),E5:I5,0))&amp;IF(COUNTIF(E5:I5,MIN(E5:I5))&gt;1," (tie x"&amp;COUNTIF(E5:I5,MIN(E5:I5))&amp;")",""))</f>
        <v/>
      </c>
      <c r="L5" s="7">
        <f>IF(COUNT(E5:I5)=0,"n/a",4*MIN(E5:I5))</f>
        <v/>
      </c>
      <c r="M5" s="6">
        <f>COUNT(E5:I5)</f>
        <v/>
      </c>
      <c r="N5" s="6" t="inlineStr">
        <is>
          <t>[V]</t>
        </is>
      </c>
      <c r="O5" s="2" t="inlineStr">
        <is>
          <t>Kal price is a sale (was $309.10) + $60 off set; Nitto rebate $60–70</t>
        </is>
      </c>
    </row>
    <row r="6">
      <c r="A6" s="6" t="inlineStr">
        <is>
          <t>All-weather 3PMSF</t>
        </is>
      </c>
      <c r="B6" s="6" t="inlineStr">
        <is>
          <t>Falken</t>
        </is>
      </c>
      <c r="C6" s="6" t="inlineStr">
        <is>
          <t>Aklimate</t>
        </is>
      </c>
      <c r="D6" s="6" t="inlineStr">
        <is>
          <t>96W XL</t>
        </is>
      </c>
      <c r="E6" s="7" t="inlineStr">
        <is>
          <t>Not listed</t>
        </is>
      </c>
      <c r="F6" s="7" t="inlineStr">
        <is>
          <t>Not listed</t>
        </is>
      </c>
      <c r="G6" s="7" t="inlineStr">
        <is>
          <t>Not listed</t>
        </is>
      </c>
      <c r="H6" s="7" t="n">
        <v>295.99</v>
      </c>
      <c r="I6" s="7" t="inlineStr">
        <is>
          <t>Not listed</t>
        </is>
      </c>
      <c r="J6" s="8">
        <f>IF(COUNT(E6:I6)=0,"Not published",MIN(E6:I6))</f>
        <v/>
      </c>
      <c r="K6" s="6">
        <f>IF(COUNT(E6:I6)=0,"n/a",INDEX($E$1:$I$1,MATCH(MIN(E6:I6),E6:I6,0))&amp;IF(COUNTIF(E6:I6,MIN(E6:I6))&gt;1," (tie x"&amp;COUNTIF(E6:I6,MIN(E6:I6))&amp;")",""))</f>
        <v/>
      </c>
      <c r="L6" s="7">
        <f>IF(COUNT(E6:I6)=0,"n/a",4*MIN(E6:I6))</f>
        <v/>
      </c>
      <c r="M6" s="6">
        <f>COUNT(E6:I6)</f>
        <v/>
      </c>
      <c r="N6" s="6" t="inlineStr">
        <is>
          <t>[V]</t>
        </is>
      </c>
      <c r="O6" s="2" t="inlineStr">
        <is>
          <t>PMC lists Falken $80 rebate from Oct 1</t>
        </is>
      </c>
    </row>
    <row r="7">
      <c r="A7" s="6" t="inlineStr">
        <is>
          <t>All-season</t>
        </is>
      </c>
      <c r="B7" s="6" t="inlineStr">
        <is>
          <t>Michelin</t>
        </is>
      </c>
      <c r="C7" s="6" t="inlineStr">
        <is>
          <t>Pilot Sport All Season 4</t>
        </is>
      </c>
      <c r="D7" s="6" t="inlineStr">
        <is>
          <t>96Y XL</t>
        </is>
      </c>
      <c r="E7" s="7" t="n">
        <v>325.95</v>
      </c>
      <c r="F7" s="7" t="n">
        <v>325.95</v>
      </c>
      <c r="G7" s="7" t="inlineStr">
        <is>
          <t>Not listed</t>
        </is>
      </c>
      <c r="H7" s="7" t="inlineStr">
        <is>
          <t>Not listed</t>
        </is>
      </c>
      <c r="I7" s="7" t="inlineStr">
        <is>
          <t>Member price</t>
        </is>
      </c>
      <c r="J7" s="8">
        <f>IF(COUNT(E7:I7)=0,"Not published",MIN(E7:I7))</f>
        <v/>
      </c>
      <c r="K7" s="6">
        <f>IF(COUNT(E7:I7)=0,"n/a",INDEX($E$1:$I$1,MATCH(MIN(E7:I7),E7:I7,0))&amp;IF(COUNTIF(E7:I7,MIN(E7:I7))&gt;1," (tie x"&amp;COUNTIF(E7:I7,MIN(E7:I7))&amp;")",""))</f>
        <v/>
      </c>
      <c r="L7" s="7">
        <f>IF(COUNT(E7:I7)=0,"n/a",4*MIN(E7:I7))</f>
        <v/>
      </c>
      <c r="M7" s="6">
        <f>COUNT(E7:I7)</f>
        <v/>
      </c>
      <c r="N7" s="6" t="inlineStr">
        <is>
          <t>[V]</t>
        </is>
      </c>
      <c r="O7" s="2" t="inlineStr">
        <is>
          <t>BC code AS4PROMO 15%; Michelin mail-in up to $100</t>
        </is>
      </c>
    </row>
    <row r="8">
      <c r="A8" s="6" t="inlineStr">
        <is>
          <t>All-season</t>
        </is>
      </c>
      <c r="B8" s="6" t="inlineStr">
        <is>
          <t>Continental</t>
        </is>
      </c>
      <c r="C8" s="6" t="inlineStr">
        <is>
          <t>ExtremeContact DWS06 Plus</t>
        </is>
      </c>
      <c r="D8" s="6" t="inlineStr">
        <is>
          <t>92W</t>
        </is>
      </c>
      <c r="E8" s="7" t="n">
        <v>297.99</v>
      </c>
      <c r="F8" s="7" t="n">
        <v>297.99</v>
      </c>
      <c r="G8" s="7" t="inlineStr">
        <is>
          <t>Not listed</t>
        </is>
      </c>
      <c r="H8" s="7" t="n">
        <v>315.99</v>
      </c>
      <c r="I8" s="7" t="inlineStr">
        <is>
          <t>Not listed</t>
        </is>
      </c>
      <c r="J8" s="8">
        <f>IF(COUNT(E8:I8)=0,"Not published",MIN(E8:I8))</f>
        <v/>
      </c>
      <c r="K8" s="6">
        <f>IF(COUNT(E8:I8)=0,"n/a",INDEX($E$1:$I$1,MATCH(MIN(E8:I8),E8:I8,0))&amp;IF(COUNTIF(E8:I8,MIN(E8:I8))&gt;1," (tie x"&amp;COUNTIF(E8:I8,MIN(E8:I8))&amp;")",""))</f>
        <v/>
      </c>
      <c r="L8" s="7">
        <f>IF(COUNT(E8:I8)=0,"n/a",4*MIN(E8:I8))</f>
        <v/>
      </c>
      <c r="M8" s="6">
        <f>COUNT(E8:I8)</f>
        <v/>
      </c>
      <c r="N8" s="6" t="inlineStr">
        <is>
          <t>[V]</t>
        </is>
      </c>
      <c r="O8" s="2" t="inlineStr">
        <is>
          <t>BC code PROMODWS06 12%</t>
        </is>
      </c>
    </row>
    <row r="9">
      <c r="A9" s="6" t="inlineStr">
        <is>
          <t>All-season</t>
        </is>
      </c>
      <c r="B9" s="6" t="inlineStr">
        <is>
          <t>Bridgestone</t>
        </is>
      </c>
      <c r="C9" s="6" t="inlineStr">
        <is>
          <t>Potenza Sport A/S</t>
        </is>
      </c>
      <c r="D9" s="6" t="inlineStr">
        <is>
          <t>96W XL</t>
        </is>
      </c>
      <c r="E9" s="7" t="n">
        <v>308.99</v>
      </c>
      <c r="F9" s="7" t="n">
        <v>308.99</v>
      </c>
      <c r="G9" s="7" t="inlineStr">
        <is>
          <t>Not listed</t>
        </is>
      </c>
      <c r="H9" s="7" t="n">
        <v>318.99</v>
      </c>
      <c r="I9" s="7" t="inlineStr">
        <is>
          <t>Not listed</t>
        </is>
      </c>
      <c r="J9" s="8">
        <f>IF(COUNT(E9:I9)=0,"Not published",MIN(E9:I9))</f>
        <v/>
      </c>
      <c r="K9" s="6">
        <f>IF(COUNT(E9:I9)=0,"n/a",INDEX($E$1:$I$1,MATCH(MIN(E9:I9),E9:I9,0))&amp;IF(COUNTIF(E9:I9,MIN(E9:I9))&gt;1," (tie x"&amp;COUNTIF(E9:I9,MIN(E9:I9))&amp;")",""))</f>
        <v/>
      </c>
      <c r="L9" s="7">
        <f>IF(COUNT(E9:I9)=0,"n/a",4*MIN(E9:I9))</f>
        <v/>
      </c>
      <c r="M9" s="6">
        <f>COUNT(E9:I9)</f>
        <v/>
      </c>
      <c r="N9" s="6" t="inlineStr">
        <is>
          <t>[V]</t>
        </is>
      </c>
      <c r="O9" s="2" t="inlineStr">
        <is>
          <t>Bridgestone mail-in $70</t>
        </is>
      </c>
    </row>
    <row r="10">
      <c r="A10" s="6" t="inlineStr">
        <is>
          <t>All-season</t>
        </is>
      </c>
      <c r="B10" s="6" t="inlineStr">
        <is>
          <t>Bridgestone</t>
        </is>
      </c>
      <c r="C10" s="6" t="inlineStr">
        <is>
          <t>Potenza RE980AS+</t>
        </is>
      </c>
      <c r="D10" s="6" t="inlineStr">
        <is>
          <t>96W</t>
        </is>
      </c>
      <c r="E10" s="7" t="inlineStr">
        <is>
          <t>Not listed</t>
        </is>
      </c>
      <c r="F10" s="7" t="inlineStr">
        <is>
          <t>Not listed</t>
        </is>
      </c>
      <c r="G10" s="7" t="n">
        <v>295.3</v>
      </c>
      <c r="H10" s="7" t="inlineStr">
        <is>
          <t>Not listed</t>
        </is>
      </c>
      <c r="I10" s="7" t="inlineStr">
        <is>
          <t>Not listed</t>
        </is>
      </c>
      <c r="J10" s="8">
        <f>IF(COUNT(E10:I10)=0,"Not published",MIN(E10:I10))</f>
        <v/>
      </c>
      <c r="K10" s="6">
        <f>IF(COUNT(E10:I10)=0,"n/a",INDEX($E$1:$I$1,MATCH(MIN(E10:I10),E10:I10,0))&amp;IF(COUNTIF(E10:I10,MIN(E10:I10))&gt;1," (tie x"&amp;COUNTIF(E10:I10,MIN(E10:I10))&amp;")",""))</f>
        <v/>
      </c>
      <c r="L10" s="7">
        <f>IF(COUNT(E10:I10)=0,"n/a",4*MIN(E10:I10))</f>
        <v/>
      </c>
      <c r="M10" s="6">
        <f>COUNT(E10:I10)</f>
        <v/>
      </c>
      <c r="N10" s="6" t="inlineStr">
        <is>
          <t>[V]</t>
        </is>
      </c>
      <c r="O10" s="2" t="inlineStr">
        <is>
          <t>Kal: price from product data only; stock/promo not checked</t>
        </is>
      </c>
    </row>
    <row r="11">
      <c r="A11" s="6" t="inlineStr">
        <is>
          <t>All-season</t>
        </is>
      </c>
      <c r="B11" s="6" t="inlineStr">
        <is>
          <t>Bridgestone</t>
        </is>
      </c>
      <c r="C11" s="6" t="inlineStr">
        <is>
          <t>Ecopia H/L 422 Plus</t>
        </is>
      </c>
      <c r="D11" s="6" t="inlineStr">
        <is>
          <t>92W</t>
        </is>
      </c>
      <c r="E11" s="7" t="inlineStr">
        <is>
          <t>Not listed</t>
        </is>
      </c>
      <c r="F11" s="7" t="inlineStr">
        <is>
          <t>Not listed</t>
        </is>
      </c>
      <c r="G11" s="7" t="inlineStr">
        <is>
          <t>Not listed</t>
        </is>
      </c>
      <c r="H11" s="7" t="inlineStr">
        <is>
          <t>Not listed</t>
        </is>
      </c>
      <c r="I11" s="7" t="n">
        <v>444.99</v>
      </c>
      <c r="J11" s="8">
        <f>IF(COUNT(E11:I11)=0,"Not published",MIN(E11:I11))</f>
        <v/>
      </c>
      <c r="K11" s="6">
        <f>IF(COUNT(E11:I11)=0,"n/a",INDEX($E$1:$I$1,MATCH(MIN(E11:I11),E11:I11,0))&amp;IF(COUNTIF(E11:I11,MIN(E11:I11))&gt;1," (tie x"&amp;COUNTIF(E11:I11,MIN(E11:I11))&amp;")",""))</f>
        <v/>
      </c>
      <c r="L11" s="7">
        <f>IF(COUNT(E11:I11)=0,"n/a",4*MIN(E11:I11))</f>
        <v/>
      </c>
      <c r="M11" s="6">
        <f>COUNT(E11:I11)</f>
        <v/>
      </c>
      <c r="N11" s="6" t="inlineStr">
        <is>
          <t>[V]</t>
        </is>
      </c>
      <c r="O11" s="2" t="inlineStr">
        <is>
          <t>Costco: $100 off set of 4 to Oct 4; install included</t>
        </is>
      </c>
    </row>
    <row r="12">
      <c r="A12" s="6" t="inlineStr">
        <is>
          <t>All-season</t>
        </is>
      </c>
      <c r="B12" s="6" t="inlineStr">
        <is>
          <t>Pirelli</t>
        </is>
      </c>
      <c r="C12" s="6" t="inlineStr">
        <is>
          <t>P Zero All Season Plus 3</t>
        </is>
      </c>
      <c r="D12" s="6" t="inlineStr">
        <is>
          <t>96Y</t>
        </is>
      </c>
      <c r="E12" s="7" t="n">
        <v>277.82</v>
      </c>
      <c r="F12" s="7" t="inlineStr">
        <is>
          <t>Not listed</t>
        </is>
      </c>
      <c r="G12" s="7" t="n">
        <v>286.86</v>
      </c>
      <c r="H12" s="7" t="inlineStr">
        <is>
          <t>Not listed</t>
        </is>
      </c>
      <c r="I12" s="7" t="inlineStr">
        <is>
          <t>Not listed</t>
        </is>
      </c>
      <c r="J12" s="8">
        <f>IF(COUNT(E12:I12)=0,"Not published",MIN(E12:I12))</f>
        <v/>
      </c>
      <c r="K12" s="6">
        <f>IF(COUNT(E12:I12)=0,"n/a",INDEX($E$1:$I$1,MATCH(MIN(E12:I12),E12:I12,0))&amp;IF(COUNTIF(E12:I12,MIN(E12:I12))&gt;1," (tie x"&amp;COUNTIF(E12:I12,MIN(E12:I12))&amp;")",""))</f>
        <v/>
      </c>
      <c r="L12" s="7">
        <f>IF(COUNT(E12:I12)=0,"n/a",4*MIN(E12:I12))</f>
        <v/>
      </c>
      <c r="M12" s="6">
        <f>COUNT(E12:I12)</f>
        <v/>
      </c>
      <c r="N12" s="6" t="inlineStr">
        <is>
          <t>[V]</t>
        </is>
      </c>
      <c r="O12" s="2" t="inlineStr">
        <is>
          <t>BC code PZEROPLUS3 10%</t>
        </is>
      </c>
    </row>
    <row r="13">
      <c r="A13" s="6" t="inlineStr">
        <is>
          <t>All-season</t>
        </is>
      </c>
      <c r="B13" s="6" t="inlineStr">
        <is>
          <t>Goodyear</t>
        </is>
      </c>
      <c r="C13" s="6" t="inlineStr">
        <is>
          <t>Eagle F1 All Season</t>
        </is>
      </c>
      <c r="D13" s="6" t="inlineStr">
        <is>
          <t>96Y XL</t>
        </is>
      </c>
      <c r="E13" s="7" t="n">
        <v>255.24</v>
      </c>
      <c r="F13" s="7" t="n">
        <v>301.59</v>
      </c>
      <c r="G13" s="7" t="inlineStr">
        <is>
          <t>Not listed</t>
        </is>
      </c>
      <c r="H13" s="7" t="inlineStr">
        <is>
          <t>Not listed</t>
        </is>
      </c>
      <c r="I13" s="7" t="inlineStr">
        <is>
          <t>Not listed</t>
        </is>
      </c>
      <c r="J13" s="8">
        <f>IF(COUNT(E13:I13)=0,"Not published",MIN(E13:I13))</f>
        <v/>
      </c>
      <c r="K13" s="6">
        <f>IF(COUNT(E13:I13)=0,"n/a",INDEX($E$1:$I$1,MATCH(MIN(E13:I13),E13:I13,0))&amp;IF(COUNTIF(E13:I13,MIN(E13:I13))&gt;1," (tie x"&amp;COUNTIF(E13:I13,MIN(E13:I13))&amp;")",""))</f>
        <v/>
      </c>
      <c r="L13" s="7">
        <f>IF(COUNT(E13:I13)=0,"n/a",4*MIN(E13:I13))</f>
        <v/>
      </c>
      <c r="M13" s="6">
        <f>COUNT(E13:I13)</f>
        <v/>
      </c>
      <c r="N13" s="6" t="inlineStr">
        <is>
          <t>[V]</t>
        </is>
      </c>
      <c r="O13" s="2" t="inlineStr">
        <is>
          <t>$46.35/tire gap between the two online sellers</t>
        </is>
      </c>
    </row>
    <row r="14">
      <c r="A14" s="6" t="inlineStr">
        <is>
          <t>All-season</t>
        </is>
      </c>
      <c r="B14" s="6" t="inlineStr">
        <is>
          <t>Goodyear</t>
        </is>
      </c>
      <c r="C14" s="6" t="inlineStr">
        <is>
          <t>Assurance ComfortDrive</t>
        </is>
      </c>
      <c r="D14" s="6" t="inlineStr">
        <is>
          <t>96W XL</t>
        </is>
      </c>
      <c r="E14" s="7" t="inlineStr">
        <is>
          <t>Not listed</t>
        </is>
      </c>
      <c r="F14" s="7" t="inlineStr">
        <is>
          <t>Not listed</t>
        </is>
      </c>
      <c r="G14" s="7" t="inlineStr">
        <is>
          <t>Not listed</t>
        </is>
      </c>
      <c r="H14" s="7" t="n">
        <v>347.99</v>
      </c>
      <c r="I14" s="7" t="inlineStr">
        <is>
          <t>Not listed</t>
        </is>
      </c>
      <c r="J14" s="8">
        <f>IF(COUNT(E14:I14)=0,"Not published",MIN(E14:I14))</f>
        <v/>
      </c>
      <c r="K14" s="6">
        <f>IF(COUNT(E14:I14)=0,"n/a",INDEX($E$1:$I$1,MATCH(MIN(E14:I14),E14:I14,0))&amp;IF(COUNTIF(E14:I14,MIN(E14:I14))&gt;1," (tie x"&amp;COUNTIF(E14:I14,MIN(E14:I14))&amp;")",""))</f>
        <v/>
      </c>
      <c r="L14" s="7">
        <f>IF(COUNT(E14:I14)=0,"n/a",4*MIN(E14:I14))</f>
        <v/>
      </c>
      <c r="M14" s="6">
        <f>COUNT(E14:I14)</f>
        <v/>
      </c>
      <c r="N14" s="6" t="inlineStr">
        <is>
          <t>[V]</t>
        </is>
      </c>
      <c r="O14" s="2" t="inlineStr"/>
    </row>
    <row r="15">
      <c r="A15" s="6" t="inlineStr">
        <is>
          <t>All-season</t>
        </is>
      </c>
      <c r="B15" s="6" t="inlineStr">
        <is>
          <t>Hankook</t>
        </is>
      </c>
      <c r="C15" s="6" t="inlineStr">
        <is>
          <t>Ventus S1 AS</t>
        </is>
      </c>
      <c r="D15" s="6" t="inlineStr">
        <is>
          <t>96Y XL</t>
        </is>
      </c>
      <c r="E15" s="7" t="n">
        <v>257.18</v>
      </c>
      <c r="F15" s="7" t="n">
        <v>264.04</v>
      </c>
      <c r="G15" s="7" t="inlineStr">
        <is>
          <t>Not listed</t>
        </is>
      </c>
      <c r="H15" s="7" t="inlineStr">
        <is>
          <t>Not listed</t>
        </is>
      </c>
      <c r="I15" s="7" t="inlineStr">
        <is>
          <t>Not listed</t>
        </is>
      </c>
      <c r="J15" s="8">
        <f>IF(COUNT(E15:I15)=0,"Not published",MIN(E15:I15))</f>
        <v/>
      </c>
      <c r="K15" s="6">
        <f>IF(COUNT(E15:I15)=0,"n/a",INDEX($E$1:$I$1,MATCH(MIN(E15:I15),E15:I15,0))&amp;IF(COUNTIF(E15:I15,MIN(E15:I15))&gt;1," (tie x"&amp;COUNTIF(E15:I15,MIN(E15:I15))&amp;")",""))</f>
        <v/>
      </c>
      <c r="L15" s="7">
        <f>IF(COUNT(E15:I15)=0,"n/a",4*MIN(E15:I15))</f>
        <v/>
      </c>
      <c r="M15" s="6">
        <f>COUNT(E15:I15)</f>
        <v/>
      </c>
      <c r="N15" s="6" t="inlineStr">
        <is>
          <t>[V]</t>
        </is>
      </c>
      <c r="O15" s="2" t="inlineStr"/>
    </row>
    <row r="16">
      <c r="A16" s="6" t="inlineStr">
        <is>
          <t>All-season</t>
        </is>
      </c>
      <c r="B16" s="6" t="inlineStr">
        <is>
          <t>General</t>
        </is>
      </c>
      <c r="C16" s="6" t="inlineStr">
        <is>
          <t>G-MAX AS-07</t>
        </is>
      </c>
      <c r="D16" s="6" t="inlineStr">
        <is>
          <t>92W</t>
        </is>
      </c>
      <c r="E16" s="7" t="n">
        <v>247.99</v>
      </c>
      <c r="F16" s="7" t="n">
        <v>257.21</v>
      </c>
      <c r="G16" s="7" t="inlineStr">
        <is>
          <t>Not listed</t>
        </is>
      </c>
      <c r="H16" s="7" t="inlineStr">
        <is>
          <t>Not listed</t>
        </is>
      </c>
      <c r="I16" s="7" t="inlineStr">
        <is>
          <t>Not listed</t>
        </is>
      </c>
      <c r="J16" s="8">
        <f>IF(COUNT(E16:I16)=0,"Not published",MIN(E16:I16))</f>
        <v/>
      </c>
      <c r="K16" s="6">
        <f>IF(COUNT(E16:I16)=0,"n/a",INDEX($E$1:$I$1,MATCH(MIN(E16:I16),E16:I16,0))&amp;IF(COUNTIF(E16:I16,MIN(E16:I16))&gt;1," (tie x"&amp;COUNTIF(E16:I16,MIN(E16:I16))&amp;")",""))</f>
        <v/>
      </c>
      <c r="L16" s="7">
        <f>IF(COUNT(E16:I16)=0,"n/a",4*MIN(E16:I16))</f>
        <v/>
      </c>
      <c r="M16" s="6">
        <f>COUNT(E16:I16)</f>
        <v/>
      </c>
      <c r="N16" s="6" t="inlineStr">
        <is>
          <t>[V]</t>
        </is>
      </c>
      <c r="O16" s="2" t="inlineStr">
        <is>
          <t>Lowest priced tire found in 225/45R19</t>
        </is>
      </c>
    </row>
    <row r="17">
      <c r="A17" s="6" t="inlineStr">
        <is>
          <t>All-season</t>
        </is>
      </c>
      <c r="B17" s="6" t="inlineStr">
        <is>
          <t>Firestone</t>
        </is>
      </c>
      <c r="C17" s="6" t="inlineStr">
        <is>
          <t>Firehawk AS V2</t>
        </is>
      </c>
      <c r="D17" s="6" t="inlineStr">
        <is>
          <t>96W</t>
        </is>
      </c>
      <c r="E17" s="7" t="inlineStr">
        <is>
          <t>Not listed</t>
        </is>
      </c>
      <c r="F17" s="7" t="inlineStr">
        <is>
          <t>Not listed</t>
        </is>
      </c>
      <c r="G17" s="7" t="n">
        <v>282.17</v>
      </c>
      <c r="H17" s="7" t="n">
        <v>277.99</v>
      </c>
      <c r="I17" s="7" t="inlineStr">
        <is>
          <t>Member price</t>
        </is>
      </c>
      <c r="J17" s="8">
        <f>IF(COUNT(E17:I17)=0,"Not published",MIN(E17:I17))</f>
        <v/>
      </c>
      <c r="K17" s="6">
        <f>IF(COUNT(E17:I17)=0,"n/a",INDEX($E$1:$I$1,MATCH(MIN(E17:I17),E17:I17,0))&amp;IF(COUNTIF(E17:I17,MIN(E17:I17))&gt;1," (tie x"&amp;COUNTIF(E17:I17,MIN(E17:I17))&amp;")",""))</f>
        <v/>
      </c>
      <c r="L17" s="7">
        <f>IF(COUNT(E17:I17)=0,"n/a",4*MIN(E17:I17))</f>
        <v/>
      </c>
      <c r="M17" s="6">
        <f>COUNT(E17:I17)</f>
        <v/>
      </c>
      <c r="N17" s="6" t="inlineStr">
        <is>
          <t>[V]</t>
        </is>
      </c>
      <c r="O17" s="2" t="inlineStr">
        <is>
          <t>Firestone mail-in $60</t>
        </is>
      </c>
    </row>
    <row r="18">
      <c r="A18" s="6" t="inlineStr">
        <is>
          <t>All-season</t>
        </is>
      </c>
      <c r="B18" s="6" t="inlineStr">
        <is>
          <t>Nokian</t>
        </is>
      </c>
      <c r="C18" s="6" t="inlineStr">
        <is>
          <t>Surpass AS01</t>
        </is>
      </c>
      <c r="D18" s="6" t="inlineStr">
        <is>
          <t>96W</t>
        </is>
      </c>
      <c r="E18" s="7" t="inlineStr">
        <is>
          <t>Not listed</t>
        </is>
      </c>
      <c r="F18" s="7" t="inlineStr">
        <is>
          <t>Not listed</t>
        </is>
      </c>
      <c r="G18" s="7" t="n">
        <v>274.03</v>
      </c>
      <c r="H18" s="7" t="inlineStr">
        <is>
          <t>Not listed</t>
        </is>
      </c>
      <c r="I18" s="7" t="inlineStr">
        <is>
          <t>Not listed</t>
        </is>
      </c>
      <c r="J18" s="8">
        <f>IF(COUNT(E18:I18)=0,"Not published",MIN(E18:I18))</f>
        <v/>
      </c>
      <c r="K18" s="6">
        <f>IF(COUNT(E18:I18)=0,"n/a",INDEX($E$1:$I$1,MATCH(MIN(E18:I18),E18:I18,0))&amp;IF(COUNTIF(E18:I18,MIN(E18:I18))&gt;1," (tie x"&amp;COUNTIF(E18:I18,MIN(E18:I18))&amp;")",""))</f>
        <v/>
      </c>
      <c r="L18" s="7">
        <f>IF(COUNT(E18:I18)=0,"n/a",4*MIN(E18:I18))</f>
        <v/>
      </c>
      <c r="M18" s="6">
        <f>COUNT(E18:I18)</f>
        <v/>
      </c>
      <c r="N18" s="6" t="inlineStr">
        <is>
          <t>[V]</t>
        </is>
      </c>
      <c r="O18" s="2" t="inlineStr"/>
    </row>
    <row r="19">
      <c r="A19" s="6" t="inlineStr">
        <is>
          <t>All-season</t>
        </is>
      </c>
      <c r="B19" s="6" t="inlineStr">
        <is>
          <t>Toyo</t>
        </is>
      </c>
      <c r="C19" s="6" t="inlineStr">
        <is>
          <t>Extensa HP II</t>
        </is>
      </c>
      <c r="D19" s="6" t="inlineStr">
        <is>
          <t>96W</t>
        </is>
      </c>
      <c r="E19" s="7" t="inlineStr">
        <is>
          <t>Not listed</t>
        </is>
      </c>
      <c r="F19" s="7" t="inlineStr">
        <is>
          <t>Not listed</t>
        </is>
      </c>
      <c r="G19" s="7" t="inlineStr">
        <is>
          <t>Not listed</t>
        </is>
      </c>
      <c r="H19" s="7" t="n">
        <v>277.99</v>
      </c>
      <c r="I19" s="7" t="inlineStr">
        <is>
          <t>Not listed</t>
        </is>
      </c>
      <c r="J19" s="8">
        <f>IF(COUNT(E19:I19)=0,"Not published",MIN(E19:I19))</f>
        <v/>
      </c>
      <c r="K19" s="6">
        <f>IF(COUNT(E19:I19)=0,"n/a",INDEX($E$1:$I$1,MATCH(MIN(E19:I19),E19:I19,0))&amp;IF(COUNTIF(E19:I19,MIN(E19:I19))&gt;1," (tie x"&amp;COUNTIF(E19:I19,MIN(E19:I19))&amp;")",""))</f>
        <v/>
      </c>
      <c r="L19" s="7">
        <f>IF(COUNT(E19:I19)=0,"n/a",4*MIN(E19:I19))</f>
        <v/>
      </c>
      <c r="M19" s="6">
        <f>COUNT(E19:I19)</f>
        <v/>
      </c>
      <c r="N19" s="6" t="inlineStr">
        <is>
          <t>[V]</t>
        </is>
      </c>
      <c r="O19" s="2" t="inlineStr"/>
    </row>
    <row r="20">
      <c r="A20" s="6" t="inlineStr">
        <is>
          <t>All-season</t>
        </is>
      </c>
      <c r="B20" s="6" t="inlineStr">
        <is>
          <t>BFGoodrich</t>
        </is>
      </c>
      <c r="C20" s="6" t="inlineStr">
        <is>
          <t>g-Force COMP-2 A/S Plus</t>
        </is>
      </c>
      <c r="D20" s="6" t="inlineStr">
        <is>
          <t>96W XL</t>
        </is>
      </c>
      <c r="E20" s="7" t="inlineStr">
        <is>
          <t>Not listed</t>
        </is>
      </c>
      <c r="F20" s="7" t="inlineStr">
        <is>
          <t>Not listed</t>
        </is>
      </c>
      <c r="G20" s="7" t="inlineStr">
        <is>
          <t>Not listed</t>
        </is>
      </c>
      <c r="H20" s="7" t="inlineStr">
        <is>
          <t>Not listed</t>
        </is>
      </c>
      <c r="I20" s="7" t="n">
        <v>344.99</v>
      </c>
      <c r="J20" s="8">
        <f>IF(COUNT(E20:I20)=0,"Not published",MIN(E20:I20))</f>
        <v/>
      </c>
      <c r="K20" s="6">
        <f>IF(COUNT(E20:I20)=0,"n/a",INDEX($E$1:$I$1,MATCH(MIN(E20:I20),E20:I20,0))&amp;IF(COUNTIF(E20:I20,MIN(E20:I20))&gt;1," (tie x"&amp;COUNTIF(E20:I20,MIN(E20:I20))&amp;")",""))</f>
        <v/>
      </c>
      <c r="L20" s="7">
        <f>IF(COUNT(E20:I20)=0,"n/a",4*MIN(E20:I20))</f>
        <v/>
      </c>
      <c r="M20" s="6">
        <f>COUNT(E20:I20)</f>
        <v/>
      </c>
      <c r="N20" s="6" t="inlineStr">
        <is>
          <t>[V]</t>
        </is>
      </c>
      <c r="O20" s="2" t="inlineStr">
        <is>
          <t>Costco: install included</t>
        </is>
      </c>
    </row>
  </sheetData>
  <autoFilter ref="A1:O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40" customWidth="1" min="4" max="4"/>
    <col width="40" customWidth="1" min="5" max="5"/>
    <col width="50" customWidth="1" min="6" max="6"/>
    <col width="20" customWidth="1" min="7" max="7"/>
  </cols>
  <sheetData>
    <row r="1">
      <c r="A1" s="4" t="inlineStr">
        <is>
          <t>Retailer</t>
        </is>
      </c>
      <c r="B1" s="4" t="inlineStr">
        <is>
          <t>Price basis</t>
        </is>
      </c>
      <c r="C1" s="4" t="inlineStr">
        <is>
          <t>Installation</t>
        </is>
      </c>
      <c r="D1" s="4" t="inlineStr">
        <is>
          <t>Shipping</t>
        </is>
      </c>
      <c r="E1" s="4" t="inlineStr">
        <is>
          <t>Location priced</t>
        </is>
      </c>
      <c r="F1" s="4" t="inlineStr">
        <is>
          <t>Site-wide promo</t>
        </is>
      </c>
      <c r="G1" s="4" t="inlineStr">
        <is>
          <t>Verif</t>
        </is>
      </c>
    </row>
    <row r="2">
      <c r="A2" s="2" t="inlineStr">
        <is>
          <t>Blackcircles.ca</t>
        </is>
      </c>
      <c r="B2" s="2" t="inlineStr">
        <is>
          <t>Per tire, online</t>
        </is>
      </c>
      <c r="C2" s="2" t="inlineStr">
        <is>
          <t>Not included</t>
        </is>
      </c>
      <c r="D2" s="2" t="inlineStr">
        <is>
          <t>Free on most orders; fees for remote areas or out-of-province stock</t>
        </is>
      </c>
      <c r="E2" s="2" t="inlineStr">
        <is>
          <t>Online (national)</t>
        </is>
      </c>
      <c r="F2" s="2" t="inlineStr">
        <is>
          <t>Brand codes 10–15% on 4 tires, not combinable; FALL10 up to 10%. No end dates published</t>
        </is>
      </c>
      <c r="G2" s="2" t="inlineStr">
        <is>
          <t>[V]</t>
        </is>
      </c>
    </row>
    <row r="3">
      <c r="A3" s="2" t="inlineStr">
        <is>
          <t>PMCtire.com</t>
        </is>
      </c>
      <c r="B3" s="2" t="inlineStr">
        <is>
          <t>Per tire, online</t>
        </is>
      </c>
      <c r="C3" s="2" t="inlineStr">
        <is>
          <t>Not included</t>
        </is>
      </c>
      <c r="D3" s="2" t="inlineStr">
        <is>
          <t>Free on 4+ tires 'almost everywhere in Canada'</t>
        </is>
      </c>
      <c r="E3" s="2" t="inlineStr">
        <is>
          <t>Online (national); based in Quebec</t>
        </is>
      </c>
      <c r="F3" s="2" t="inlineStr">
        <is>
          <t>10%OFF on $500+ (expiry date not readable)</t>
        </is>
      </c>
      <c r="G3" s="2" t="inlineStr">
        <is>
          <t>[V]</t>
        </is>
      </c>
    </row>
    <row r="4">
      <c r="A4" s="2" t="inlineStr">
        <is>
          <t>Kal Tire</t>
        </is>
      </c>
      <c r="B4" s="2" t="inlineStr">
        <is>
          <t>Per tire</t>
        </is>
      </c>
      <c r="C4" s="2" t="inlineStr">
        <is>
          <t>Not published on pages read</t>
        </is>
      </c>
      <c r="D4" s="2" t="inlineStr">
        <is>
          <t>n/a (in-store)</t>
        </is>
      </c>
      <c r="E4" s="2" t="inlineStr">
        <is>
          <t>Default site pricing, likely BC (Canada/Pacific cookie) — other provinces not checked</t>
        </is>
      </c>
      <c r="F4" s="2" t="inlineStr">
        <is>
          <t>Instant sales on Nokian and Nitto shown</t>
        </is>
      </c>
      <c r="G4" s="2" t="inlineStr">
        <is>
          <t>[V] prices · [U] location</t>
        </is>
      </c>
    </row>
    <row r="5">
      <c r="A5" s="2" t="inlineStr">
        <is>
          <t>Point S</t>
        </is>
      </c>
      <c r="B5" s="2" t="inlineStr">
        <is>
          <t>Per tire, 'set of 4 tires installation and environmental costs included'</t>
        </is>
      </c>
      <c r="C5" s="2" t="inlineStr">
        <is>
          <t>Included</t>
        </is>
      </c>
      <c r="D5" s="2" t="inlineStr">
        <is>
          <t>n/a (in-store)</t>
        </is>
      </c>
      <c r="E5" s="2" t="inlineStr">
        <is>
          <t>'Generic QC Point-S' pricing; participating dealers may differ</t>
        </is>
      </c>
      <c r="F5" s="2" t="inlineStr">
        <is>
          <t>Mail-in rebates only</t>
        </is>
      </c>
      <c r="G5" s="2" t="inlineStr">
        <is>
          <t>[V]</t>
        </is>
      </c>
    </row>
    <row r="6">
      <c r="A6" s="2" t="inlineStr">
        <is>
          <t>Costco</t>
        </is>
      </c>
      <c r="B6" s="2" t="inlineStr">
        <is>
          <t>Per tire; set-of-4 total shown</t>
        </is>
      </c>
      <c r="C6" s="2" t="inlineStr">
        <is>
          <t>Included at no charge (TPMS service pack fees may apply)</t>
        </is>
      </c>
      <c r="D6" s="2" t="inlineStr">
        <is>
          <t>n/a (in-store)</t>
        </is>
      </c>
      <c r="E6" s="2" t="inlineStr">
        <is>
          <t>Thorncliffe Park, Toronto (#1316)</t>
        </is>
      </c>
      <c r="F6" s="2" t="inlineStr">
        <is>
          <t>Bridgestone $100 / Firestone $60 off set of 4, Aug 31–Oct 4; many items 'Sign in for price'</t>
        </is>
      </c>
      <c r="G6" s="2" t="inlineStr">
        <is>
          <t>[V]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2" customWidth="1" min="4" max="4"/>
    <col width="12" customWidth="1" min="5" max="5"/>
    <col width="12" customWidth="1" min="6" max="6"/>
    <col width="8" customWidth="1" min="7" max="7"/>
    <col width="80" customWidth="1" min="8" max="8"/>
  </cols>
  <sheetData>
    <row r="1">
      <c r="A1" s="4" t="inlineStr">
        <is>
          <t>Size</t>
        </is>
      </c>
      <c r="B1" s="4" t="inlineStr">
        <is>
          <t>Brand</t>
        </is>
      </c>
      <c r="C1" s="4" t="inlineStr">
        <is>
          <t>Model</t>
        </is>
      </c>
      <c r="D1" s="4" t="inlineStr">
        <is>
          <t>Load / speed</t>
        </is>
      </c>
      <c r="E1" s="4" t="inlineStr">
        <is>
          <t>Retailer</t>
        </is>
      </c>
      <c r="F1" s="4" t="inlineStr">
        <is>
          <t>CAD $/tire</t>
        </is>
      </c>
      <c r="G1" s="4" t="inlineStr">
        <is>
          <t>Verif</t>
        </is>
      </c>
      <c r="H1" s="4" t="inlineStr">
        <is>
          <t>Why excluded</t>
        </is>
      </c>
    </row>
    <row r="2">
      <c r="A2" s="9" t="inlineStr">
        <is>
          <t>225/50R18</t>
        </is>
      </c>
      <c r="B2" s="9" t="inlineStr">
        <is>
          <t>Pirelli</t>
        </is>
      </c>
      <c r="C2" s="9" t="inlineStr">
        <is>
          <t>Cinturato P7 All Season Run-Flat</t>
        </is>
      </c>
      <c r="D2" s="9" t="inlineStr">
        <is>
          <t>95V</t>
        </is>
      </c>
      <c r="E2" s="9" t="inlineStr">
        <is>
          <t>Costco</t>
        </is>
      </c>
      <c r="F2" s="10" t="n">
        <v>344.99</v>
      </c>
      <c r="G2" s="9" t="inlineStr">
        <is>
          <t>[V]</t>
        </is>
      </c>
      <c r="H2" s="9" t="inlineStr">
        <is>
          <t>Run-flat; Taos is not fitted with run-flats — listed only because retailers returned it for this size</t>
        </is>
      </c>
    </row>
    <row r="3">
      <c r="A3" s="9" t="inlineStr">
        <is>
          <t>225/45R19</t>
        </is>
      </c>
      <c r="B3" s="9" t="inlineStr">
        <is>
          <t>Pirelli</t>
        </is>
      </c>
      <c r="C3" s="9" t="inlineStr">
        <is>
          <t>Cinturato P7 All Season Run-Flat</t>
        </is>
      </c>
      <c r="D3" s="9" t="inlineStr">
        <is>
          <t>96H</t>
        </is>
      </c>
      <c r="E3" s="9" t="inlineStr">
        <is>
          <t>Costco</t>
        </is>
      </c>
      <c r="F3" s="10" t="n">
        <v>479.99</v>
      </c>
      <c r="G3" s="9" t="inlineStr">
        <is>
          <t>[V]</t>
        </is>
      </c>
      <c r="H3" s="9" t="inlineStr">
        <is>
          <t>Run-flat; Taos is not fitted with run-flats — listed only because retailers returned it for this size</t>
        </is>
      </c>
    </row>
    <row r="4">
      <c r="A4" s="9" t="inlineStr">
        <is>
          <t>225/45R19</t>
        </is>
      </c>
      <c r="B4" s="9" t="inlineStr">
        <is>
          <t>Pirelli</t>
        </is>
      </c>
      <c r="C4" s="9" t="inlineStr">
        <is>
          <t>Cinturato P7 A/S Run-Flat</t>
        </is>
      </c>
      <c r="D4" s="9" t="inlineStr">
        <is>
          <t>96H</t>
        </is>
      </c>
      <c r="E4" s="9" t="inlineStr">
        <is>
          <t>Kal Tire</t>
        </is>
      </c>
      <c r="F4" s="10" t="n">
        <v>488.67</v>
      </c>
      <c r="G4" s="9" t="inlineStr">
        <is>
          <t>[V]</t>
        </is>
      </c>
      <c r="H4" s="9" t="inlineStr">
        <is>
          <t>Run-flat; Taos is not fitted with run-flats — listed only because retailers returned it for this size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34" customWidth="1" min="4" max="4"/>
  </cols>
  <sheetData>
    <row r="1">
      <c r="A1" s="4" t="inlineStr">
        <is>
          <t>Section</t>
        </is>
      </c>
      <c r="B1" s="4" t="inlineStr">
        <is>
          <t>Item</t>
        </is>
      </c>
      <c r="C1" s="4" t="inlineStr">
        <is>
          <t>Detail</t>
        </is>
      </c>
      <c r="D1" s="4" t="inlineStr">
        <is>
          <t>Status</t>
        </is>
      </c>
    </row>
    <row r="2">
      <c r="A2" s="2" t="inlineStr">
        <is>
          <t>Sources &amp; verification</t>
        </is>
      </c>
      <c r="B2" s="2" t="inlineStr">
        <is>
          <t>OE sizes</t>
        </is>
      </c>
      <c r="C2" s="2" t="inlineStr">
        <is>
          <t>225/50R18 95H and 225/45R19 92H for 2022 Taos Highline 4MOTION — michelin.ca/en/auto/manufacturers/volkswagen/taos/2022/highline-4motion and bfgoodrich.ca/en/auto/manufacturers/volkswagen/taos/2022/highline-4motion</t>
        </is>
      </c>
      <c r="D2" s="2" t="inlineStr">
        <is>
          <t>[V] (same parent company — treat as one fitment database)</t>
        </is>
      </c>
    </row>
    <row r="3">
      <c r="A3" s="2" t="inlineStr">
        <is>
          <t>Sources &amp; verification</t>
        </is>
      </c>
      <c r="B3" s="2" t="inlineStr">
        <is>
          <t>OE sizes</t>
        </is>
      </c>
      <c r="C3" s="2" t="inlineStr">
        <is>
          <t>VW US 2022 Taos tech specs PDF: 225/50 R18 [AWD], 225/45 R19 all-season — media.vw.com/assets/documents/original/13552-2022TaosTechnicalSpecsFinal.pdf</t>
        </is>
      </c>
      <c r="D3" s="2" t="inlineStr">
        <is>
          <t>[V] sizes · no load/speed given</t>
        </is>
      </c>
    </row>
    <row r="4">
      <c r="A4" s="2" t="inlineStr">
        <is>
          <t>Sources &amp; verification</t>
        </is>
      </c>
      <c r="B4" s="2" t="inlineStr">
        <is>
          <t>Highline = 4MOTION only in Canada; 18" std, 19" $500 option</t>
        </is>
      </c>
      <c r="C4" s="2" t="inlineStr">
        <is>
          <t>guideautoweb.com/en/makes/volkswagen/taos/2022/specifications/highline-4motion/ ; canadadrives.ca/blog/car-guide/2022-volkswagen-taos-highline-review ; wildsau.ca/2021/12/review-2022-vw-taos/</t>
        </is>
      </c>
      <c r="D4" s="2" t="inlineStr">
        <is>
          <t>[T] — no vw.ca spec page reachable</t>
        </is>
      </c>
    </row>
    <row r="5">
      <c r="A5" s="2" t="inlineStr">
        <is>
          <t>Sources &amp; verification</t>
        </is>
      </c>
      <c r="B5" s="2" t="inlineStr">
        <is>
          <t>Blackcircles.ca prices</t>
        </is>
      </c>
      <c r="C5" s="2" t="inlineStr">
        <is>
          <t>blackcircles.ca/en/tire/&lt;brand&gt;/&lt;model&gt;/&lt;size&gt; product data; terms from /en/offers, /en/mail-in-rebate, shipping FAQ</t>
        </is>
      </c>
      <c r="D5" s="2" t="inlineStr">
        <is>
          <t>[V]</t>
        </is>
      </c>
    </row>
    <row r="6">
      <c r="A6" s="2" t="inlineStr">
        <is>
          <t>Sources &amp; verification</t>
        </is>
      </c>
      <c r="B6" s="2" t="inlineStr">
        <is>
          <t>PMCtire.com prices</t>
        </is>
      </c>
      <c r="C6" s="2" t="inlineStr">
        <is>
          <t>pmctire.com/en/tires/&lt;id&gt; product data feed, spot-checked against product page; terms from /en/promo-codes, /en/mail-in-rebate, /en/about</t>
        </is>
      </c>
      <c r="D6" s="2" t="inlineStr">
        <is>
          <t>[V]</t>
        </is>
      </c>
    </row>
    <row r="7">
      <c r="A7" s="2" t="inlineStr">
        <is>
          <t>Sources &amp; verification</t>
        </is>
      </c>
      <c r="B7" s="2" t="inlineStr">
        <is>
          <t>Kal Tire prices</t>
        </is>
      </c>
      <c r="C7" s="2" t="inlineStr">
        <is>
          <t>kaltire.com/en/tires/&lt;model&gt;/&lt;id&gt;.html product pages (JSON-LD + page text)</t>
        </is>
      </c>
      <c r="D7" s="2" t="inlineStr">
        <is>
          <t>[V] price · [U] province</t>
        </is>
      </c>
    </row>
    <row r="8">
      <c r="A8" s="2" t="inlineStr">
        <is>
          <t>Sources &amp; verification</t>
        </is>
      </c>
      <c r="B8" s="2" t="inlineStr">
        <is>
          <t>Point S prices</t>
        </is>
      </c>
      <c r="C8" s="2" t="inlineStr">
        <is>
          <t>point-s.ca/en/tires/225/50/18 and /225/45/19 listings + product pages</t>
        </is>
      </c>
      <c r="D8" s="2" t="inlineStr">
        <is>
          <t>[V]</t>
        </is>
      </c>
    </row>
    <row r="9">
      <c r="A9" s="2" t="inlineStr">
        <is>
          <t>Sources &amp; verification</t>
        </is>
      </c>
      <c r="B9" s="2" t="inlineStr">
        <is>
          <t>Costco prices</t>
        </is>
      </c>
      <c r="C9" s="2" t="inlineStr">
        <is>
          <t>tires.costco.ca size search + product pages, Thorncliffe Park Tire Centre</t>
        </is>
      </c>
      <c r="D9" s="2" t="inlineStr">
        <is>
          <t>[V] where shown; 'Member price' = hidden behind sign-in</t>
        </is>
      </c>
    </row>
    <row r="10">
      <c r="A10" s="2" t="inlineStr">
        <is>
          <t>Sources &amp; verification</t>
        </is>
      </c>
      <c r="B10" s="2" t="inlineStr">
        <is>
          <t>Canadian Tire</t>
        </is>
      </c>
      <c r="C10" s="2" t="inlineStr">
        <is>
          <t>canadiantire.ca pages and price API returned 403 (Akamai); WebFetch rendered no prices (JS-only)</t>
        </is>
      </c>
      <c r="D10" s="2" t="inlineStr">
        <is>
          <t>NOT CHECKED — no prices</t>
        </is>
      </c>
    </row>
    <row r="11">
      <c r="A11" s="2" t="inlineStr">
        <is>
          <t>Sources &amp; verification</t>
        </is>
      </c>
      <c r="B11" s="2" t="inlineStr">
        <is>
          <t>Walmart.ca</t>
        </is>
      </c>
      <c r="C11" s="2" t="inlineStr">
        <is>
          <t>Bot block (307 → /blocked, 'press and hold' challenge). Search snippets showed prices but pages could not be opened; snippet figures not used</t>
        </is>
      </c>
      <c r="D11" s="2" t="inlineStr">
        <is>
          <t>NOT CHECKED — no prices</t>
        </is>
      </c>
    </row>
    <row r="12">
      <c r="A12" s="2" t="inlineStr">
        <is>
          <t>Sources &amp; verification</t>
        </is>
      </c>
      <c r="B12" s="2" t="inlineStr">
        <is>
          <t>OK Tire</t>
        </is>
      </c>
      <c r="C12" s="2" t="inlineStr">
        <is>
          <t>oktire.com: Cloudflare 403 on every page</t>
        </is>
      </c>
      <c r="D12" s="2" t="inlineStr">
        <is>
          <t>NOT CHECKED — no prices</t>
        </is>
      </c>
    </row>
    <row r="13">
      <c r="A13" s="2" t="inlineStr">
        <is>
          <t>Sources &amp; verification</t>
        </is>
      </c>
      <c r="B13" s="2" t="inlineStr">
        <is>
          <t>Tirecraft</t>
        </is>
      </c>
      <c r="C13" s="2" t="inlineStr">
        <is>
          <t>Per-store pricing via TireConnect widget; API returned 403 'Scraping detected' + reCAPTCHA</t>
        </is>
      </c>
      <c r="D13" s="2" t="inlineStr">
        <is>
          <t>NOT CHECKED — no prices</t>
        </is>
      </c>
    </row>
    <row r="14">
      <c r="A14" s="2" t="inlineStr">
        <is>
          <t>Sources &amp; verification</t>
        </is>
      </c>
      <c r="B14" s="2" t="inlineStr">
        <is>
          <t>Pneus En Ligne / Pneus Online Canada</t>
        </is>
      </c>
      <c r="C14" s="2" t="inlineStr">
        <is>
          <t>pneusenligne.com dead domain; tiresonline.ca parked; pneusenligne.ca is B2B login; pneus-online-canada.ca and tiresandco.ca Cloudflare 403</t>
        </is>
      </c>
      <c r="D14" s="2" t="inlineStr">
        <is>
          <t>NOT CHECKED — no prices</t>
        </is>
      </c>
    </row>
    <row r="15">
      <c r="A15" s="2" t="inlineStr">
        <is>
          <t>Sources &amp; verification</t>
        </is>
      </c>
      <c r="B15" s="2" t="inlineStr">
        <is>
          <t>1010tires, pneus.ca, pneus123.ca, canadatirediscount.com</t>
        </is>
      </c>
      <c r="C15" s="2" t="inlineStr">
        <is>
          <t>403 / parked / connection failed</t>
        </is>
      </c>
      <c r="D15" s="2" t="inlineStr">
        <is>
          <t>NOT CHECKED</t>
        </is>
      </c>
    </row>
    <row r="16">
      <c r="A16" s="2" t="inlineStr">
        <is>
          <t>Conflicts</t>
        </is>
      </c>
      <c r="B16" s="2" t="inlineStr">
        <is>
          <t>19" size</t>
        </is>
      </c>
      <c r="C16" s="2" t="inlineStr">
        <is>
          <t>A search summary claimed 235/45R19 for Highline; Michelin.ca, BFGoodrich.ca, VW spec PDF and tiresize.com all say 225/45R19. Used 225/45R19 (vendor fitment + OEM spec outrank a search summary).</t>
        </is>
      </c>
      <c r="D16" s="2" t="inlineStr">
        <is>
          <t>Resolved</t>
        </is>
      </c>
    </row>
    <row r="17">
      <c r="A17" s="2" t="inlineStr">
        <is>
          <t>Conflicts</t>
        </is>
      </c>
      <c r="B17" s="2" t="inlineStr">
        <is>
          <t>18" size</t>
        </is>
      </c>
      <c r="C17" s="2" t="inlineStr">
        <is>
          <t>US FWD trims use 215/50R18; Canadian Highline is 4MOTION-only, so 225/50R18 applies (Michelin.ca, BFGoodrich.ca, guideautoweb).</t>
        </is>
      </c>
      <c r="D17" s="2" t="inlineStr">
        <is>
          <t>Resolved</t>
        </is>
      </c>
    </row>
    <row r="18">
      <c r="A18" s="2" t="inlineStr">
        <is>
          <t>Conflicts</t>
        </is>
      </c>
      <c r="B18" s="2" t="inlineStr">
        <is>
          <t>Same model, different load index</t>
        </is>
      </c>
      <c r="C18" s="2" t="inlineStr">
        <is>
          <t>Several retailers list XL 96/99 load versions vs OE 95H / 92H. Higher load index and speed rating are OE-or-better; each row shows the variant priced.</t>
        </is>
      </c>
      <c r="D18" s="2" t="inlineStr">
        <is>
          <t>Noted</t>
        </is>
      </c>
    </row>
    <row r="19">
      <c r="A19" s="2" t="inlineStr">
        <is>
          <t>Conflicts</t>
        </is>
      </c>
      <c r="B19" s="2" t="inlineStr">
        <is>
          <t>Costco category labels</t>
        </is>
      </c>
      <c r="C19" s="2" t="inlineStr">
        <is>
          <t>Costco tags some 3PMSF tires 'All-Season'; category here follows the 3PMSF badge.</t>
        </is>
      </c>
      <c r="D19" s="2" t="inlineStr">
        <is>
          <t>Noted</t>
        </is>
      </c>
    </row>
    <row r="20">
      <c r="A20" s="2" t="inlineStr">
        <is>
          <t>Conflicts</t>
        </is>
      </c>
      <c r="B20" s="2" t="inlineStr">
        <is>
          <t>PMCtire Toyo rebate</t>
        </is>
      </c>
      <c r="C20" s="2" t="inlineStr">
        <is>
          <t>Claim deadline shown as 'July 30, 2026' for a Sep–Dec promotion — likely site typo.</t>
        </is>
      </c>
      <c r="D20" s="2" t="inlineStr">
        <is>
          <t>Unresolved — confirm before relying on it</t>
        </is>
      </c>
    </row>
    <row r="21">
      <c r="A21" s="2" t="inlineStr">
        <is>
          <t>NEEDS YOU</t>
        </is>
      </c>
      <c r="B21" s="2" t="inlineStr">
        <is>
          <t>1</t>
        </is>
      </c>
      <c r="C21" s="2" t="inlineStr">
        <is>
          <t>Read the door-jamb placard: 225/50R18 or 225/45R19? Use that size's sheet only.</t>
        </is>
      </c>
      <c r="D21" s="2" t="inlineStr"/>
    </row>
    <row r="22">
      <c r="A22" s="2" t="inlineStr">
        <is>
          <t>NEEDS YOU</t>
        </is>
      </c>
      <c r="B22" s="2" t="inlineStr">
        <is>
          <t>2</t>
        </is>
      </c>
      <c r="C22" s="2" t="inlineStr">
        <is>
          <t>Pick all-season (needs separate winters) or all-weather 3PMSF (year-round) — the request left both open.</t>
        </is>
      </c>
      <c r="D22" s="2" t="inlineStr"/>
    </row>
    <row r="23">
      <c r="A23" s="2" t="inlineStr">
        <is>
          <t>NEEDS YOU</t>
        </is>
      </c>
      <c r="B23" s="2" t="inlineStr">
        <is>
          <t>3</t>
        </is>
      </c>
      <c r="C23" s="2" t="inlineStr">
        <is>
          <t>Get Canadian Tire / Walmart / OK Tire / Tirecraft quotes manually for your postal code — all blocked automated reads.</t>
        </is>
      </c>
      <c r="D23" s="2" t="inlineStr"/>
    </row>
    <row r="24">
      <c r="A24" s="2" t="inlineStr">
        <is>
          <t>NEEDS YOU</t>
        </is>
      </c>
      <c r="B24" s="2" t="inlineStr">
        <is>
          <t>4</t>
        </is>
      </c>
      <c r="C24" s="2" t="inlineStr">
        <is>
          <t>Add installation cost for Blackcircles / PMCtire / Kal Tire quotes before comparing to Costco and Point S (install included).</t>
        </is>
      </c>
      <c r="D24" s="2" t="inlineStr"/>
    </row>
    <row r="25">
      <c r="A25" s="2" t="inlineStr">
        <is>
          <t>NEEDS YOU</t>
        </is>
      </c>
      <c r="B25" s="2" t="inlineStr">
        <is>
          <t>5</t>
        </is>
      </c>
      <c r="C25" s="2" t="inlineStr">
        <is>
          <t>Sign in to Costco to see member-only prices (CrossClimate 2, UltraWeather, Defender2, Pilot Sport AS4).</t>
        </is>
      </c>
      <c r="D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2026-09-25T23:41:16Z</dcterms:created>
  <dcterms:modified xsi:type="dcterms:W3CDTF">2026-09-25T23:41:16Z</dcterms:modified>
</cp:coreProperties>
</file>